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sheetId="1" state="visible" r:id="rId1"/>
    <sheet xmlns:r="http://schemas.openxmlformats.org/officeDocument/2006/relationships" name="Strategic Foundation" sheetId="2" state="visible" r:id="rId2"/>
    <sheet xmlns:r="http://schemas.openxmlformats.org/officeDocument/2006/relationships" name="CMO Briefing" sheetId="3" state="visible" r:id="rId3"/>
    <sheet xmlns:r="http://schemas.openxmlformats.org/officeDocument/2006/relationships" name="Exec Summary" sheetId="4" state="visible" r:id="rId4"/>
    <sheet xmlns:r="http://schemas.openxmlformats.org/officeDocument/2006/relationships" name="Critical Path" sheetId="5" state="visible" r:id="rId5"/>
    <sheet xmlns:r="http://schemas.openxmlformats.org/officeDocument/2006/relationships" name="Reporting Cadence" sheetId="6" state="visible" r:id="rId6"/>
    <sheet xmlns:r="http://schemas.openxmlformats.org/officeDocument/2006/relationships" name="Risk Register" sheetId="7" state="visible" r:id="rId7"/>
    <sheet xmlns:r="http://schemas.openxmlformats.org/officeDocument/2006/relationships" name="Budget Impact" sheetId="8" state="visible" r:id="rId8"/>
    <sheet xmlns:r="http://schemas.openxmlformats.org/officeDocument/2006/relationships" name="ABM Triage" sheetId="9" state="visible" r:id="rId9"/>
    <sheet xmlns:r="http://schemas.openxmlformats.org/officeDocument/2006/relationships" name="Product-Market Map" sheetId="10" state="visible" r:id="rId10"/>
    <sheet xmlns:r="http://schemas.openxmlformats.org/officeDocument/2006/relationships" name="Google Ads" sheetId="11" state="visible" r:id="rId11"/>
    <sheet xmlns:r="http://schemas.openxmlformats.org/officeDocument/2006/relationships" name="LinkedIn Ads" sheetId="12" state="visible" r:id="rId12"/>
    <sheet xmlns:r="http://schemas.openxmlformats.org/officeDocument/2006/relationships" name="Microsoft Ads" sheetId="13" state="visible" r:id="rId13"/>
    <sheet xmlns:r="http://schemas.openxmlformats.org/officeDocument/2006/relationships" name="Tracking &amp; Attribution" sheetId="14" state="visible" r:id="rId14"/>
    <sheet xmlns:r="http://schemas.openxmlformats.org/officeDocument/2006/relationships" name="Action Plan" sheetId="15" state="visible" r:id="rId15"/>
    <sheet xmlns:r="http://schemas.openxmlformats.org/officeDocument/2006/relationships" name="Action-Ready" sheetId="16" state="visible" r:id="rId16"/>
    <sheet xmlns:r="http://schemas.openxmlformats.org/officeDocument/2006/relationships" name="Open Questions" sheetId="17" state="visible" r:id="rId17"/>
    <sheet xmlns:r="http://schemas.openxmlformats.org/officeDocument/2006/relationships" name="Change Log" sheetId="18" state="visible" r:id="rId18"/>
    <sheet xmlns:r="http://schemas.openxmlformats.org/officeDocument/2006/relationships" name="QA Notes" sheetId="19" state="visible" r:id="rId19"/>
    <sheet xmlns:r="http://schemas.openxmlformats.org/officeDocument/2006/relationships" name="Locked Numbers" sheetId="20" state="visible" r:id="rId20"/>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0"/>
    <numFmt numFmtId="165" formatCode="0.0%"/>
  </numFmts>
  <fonts count="50">
    <font>
      <name val="Calibri"/>
      <charset val="1"/>
      <family val="0"/>
      <color theme="1"/>
      <sz val="11"/>
    </font>
    <font>
      <name val="Arial"/>
      <family val="0"/>
      <sz val="10"/>
    </font>
    <font>
      <name val="Arial"/>
      <family val="0"/>
      <sz val="10"/>
    </font>
    <font>
      <name val="Arial"/>
      <family val="0"/>
      <sz val="10"/>
    </font>
    <font>
      <name val="Arial"/>
      <charset val="1"/>
      <family val="0"/>
      <b val="1"/>
      <color rgb="FF1F4E78"/>
      <sz val="22"/>
    </font>
    <font>
      <name val="Arial"/>
      <charset val="1"/>
      <family val="0"/>
      <i val="1"/>
      <color rgb="FF666666"/>
      <sz val="14"/>
    </font>
    <font>
      <name val="Arial"/>
      <charset val="1"/>
      <family val="0"/>
      <b val="1"/>
      <color rgb="FF1A1A1A"/>
      <sz val="10"/>
    </font>
    <font>
      <name val="Arial"/>
      <charset val="1"/>
      <family val="0"/>
      <color rgb="FF1A1A1A"/>
      <sz val="10"/>
    </font>
    <font>
      <name val="Arial"/>
      <charset val="1"/>
      <family val="0"/>
      <b val="1"/>
      <color rgb="FF1A1A1A"/>
      <sz val="11"/>
    </font>
    <font>
      <name val="Arial"/>
      <charset val="1"/>
      <family val="0"/>
      <i val="1"/>
      <color rgb="FF666666"/>
      <sz val="9"/>
    </font>
    <font>
      <name val="Calibri"/>
      <charset val="1"/>
      <family val="0"/>
      <b val="1"/>
      <color theme="1"/>
      <sz val="11"/>
    </font>
    <font>
      <name val="Calibri"/>
      <charset val="1"/>
      <family val="0"/>
      <b val="1"/>
      <color rgb="FF305496"/>
      <sz val="15"/>
    </font>
    <font>
      <name val="Calibri"/>
      <charset val="1"/>
      <family val="0"/>
      <i val="1"/>
      <color rgb="FF666666"/>
      <sz val="10"/>
    </font>
    <font>
      <name val="Calibri"/>
      <charset val="1"/>
      <family val="0"/>
      <b val="1"/>
      <color rgb="FFFFFFFF"/>
      <sz val="11"/>
    </font>
    <font>
      <name val="Calibri"/>
      <charset val="1"/>
      <family val="0"/>
      <b val="1"/>
      <color rgb="FF305496"/>
      <sz val="12"/>
    </font>
    <font>
      <name val="Calibri"/>
      <charset val="1"/>
      <family val="0"/>
      <color theme="1"/>
      <sz val="10"/>
    </font>
    <font>
      <name val="Calibri"/>
      <charset val="1"/>
      <family val="0"/>
      <b val="1"/>
      <color rgb="FF1F4E78"/>
      <sz val="18"/>
    </font>
    <font>
      <name val="Calibri"/>
      <charset val="1"/>
      <family val="0"/>
      <b val="1"/>
      <color rgb="FFFFFFFF"/>
      <sz val="13"/>
    </font>
    <font>
      <name val="Calibri"/>
      <charset val="1"/>
      <family val="0"/>
      <b val="1"/>
      <color rgb="FF1F4E78"/>
      <sz val="11"/>
    </font>
    <font>
      <name val="Calibri"/>
      <charset val="1"/>
      <family val="0"/>
      <b val="1"/>
      <color theme="1"/>
      <sz val="10"/>
    </font>
    <font>
      <name val="Calibri"/>
      <charset val="1"/>
      <family val="0"/>
      <b val="1"/>
      <color rgb="FF1F4E78"/>
      <sz val="10"/>
    </font>
    <font>
      <name val="Calibri"/>
      <charset val="1"/>
      <family val="0"/>
      <b val="1"/>
      <color rgb="FF1F4E78"/>
      <sz val="12"/>
    </font>
    <font>
      <name val="Arial"/>
      <charset val="1"/>
      <family val="0"/>
      <b val="1"/>
      <color rgb="FF1A1A1A"/>
      <sz val="16"/>
    </font>
    <font>
      <name val="Calibri"/>
      <charset val="1"/>
      <family val="0"/>
      <i val="1"/>
      <color rgb="FF808080"/>
      <sz val="11"/>
    </font>
    <font>
      <name val="Calibri"/>
      <charset val="1"/>
      <family val="0"/>
      <b val="1"/>
      <color rgb="FFFFFFFF"/>
      <sz val="12"/>
    </font>
    <font>
      <name val="Calibri"/>
      <charset val="1"/>
      <family val="0"/>
      <color theme="1"/>
      <sz val="9"/>
    </font>
    <font>
      <name val="Calibri"/>
      <charset val="1"/>
      <family val="0"/>
      <b val="1"/>
      <color rgb="FFC00000"/>
      <sz val="12"/>
    </font>
    <font>
      <name val="Calibri"/>
      <charset val="1"/>
      <family val="0"/>
      <b val="1"/>
      <color rgb="FF000000"/>
      <sz val="9"/>
    </font>
    <font>
      <name val="Calibri"/>
      <charset val="1"/>
      <family val="0"/>
      <b val="1"/>
      <color rgb="FFFFFFFF"/>
      <sz val="9"/>
    </font>
    <font>
      <name val="Calibri"/>
      <charset val="1"/>
      <family val="0"/>
      <b val="1"/>
      <color rgb="FFFFFFFF"/>
      <sz val="14"/>
    </font>
    <font>
      <name val="Calibri"/>
      <charset val="1"/>
      <family val="0"/>
      <i val="1"/>
      <color rgb="FF595959"/>
      <sz val="11"/>
    </font>
    <font>
      <name val="Calibri"/>
      <charset val="1"/>
      <family val="0"/>
      <b val="1"/>
      <color rgb="FF000000"/>
      <sz val="11"/>
    </font>
    <font>
      <name val="Calibri"/>
      <charset val="1"/>
      <family val="0"/>
      <b val="1"/>
      <color rgb="FF2E75B6"/>
      <sz val="14"/>
    </font>
    <font>
      <name val="Calibri"/>
      <charset val="1"/>
      <family val="0"/>
      <b val="1"/>
      <color rgb="FF2E75B6"/>
      <sz val="12"/>
    </font>
    <font>
      <name val="Calibri"/>
      <charset val="1"/>
      <family val="0"/>
      <b val="1"/>
      <color rgb="FF2E75B6"/>
      <sz val="11"/>
    </font>
    <font>
      <name val="Calibri"/>
      <charset val="1"/>
      <family val="0"/>
      <b val="1"/>
      <color rgb="FF548235"/>
      <sz val="12"/>
    </font>
    <font>
      <name val="Calibri"/>
      <charset val="1"/>
      <family val="0"/>
      <b val="1"/>
      <color rgb="FFBF9000"/>
      <sz val="12"/>
    </font>
    <font>
      <name val="Calibri"/>
      <charset val="1"/>
      <family val="0"/>
      <color rgb="FF808080"/>
      <sz val="11"/>
    </font>
    <font>
      <name val="Calibri"/>
      <charset val="1"/>
      <family val="0"/>
      <b val="1"/>
      <i val="1"/>
      <color rgb="FF305496"/>
      <sz val="11"/>
    </font>
    <font>
      <name val="Calibri"/>
      <charset val="1"/>
      <family val="0"/>
      <b val="1"/>
      <color theme="1"/>
      <sz val="12"/>
    </font>
    <font>
      <name val="Calibri"/>
      <charset val="1"/>
      <family val="0"/>
      <b val="1"/>
      <color theme="1"/>
      <sz val="9"/>
    </font>
    <font>
      <name val="Arial"/>
      <charset val="1"/>
      <family val="0"/>
      <b val="1"/>
      <color rgb="FFFFFFFF"/>
      <sz val="10"/>
    </font>
    <font>
      <name val="Arial"/>
      <charset val="1"/>
      <family val="0"/>
      <color rgb="FF000000"/>
      <sz val="10"/>
    </font>
    <font>
      <name val="Calibri"/>
      <charset val="1"/>
      <family val="0"/>
      <b val="1"/>
      <color rgb="FF305496"/>
      <sz val="16"/>
    </font>
    <font>
      <name val="Calibri"/>
      <charset val="1"/>
      <family val="0"/>
      <i val="1"/>
      <color rgb="FF305496"/>
      <sz val="9"/>
    </font>
    <font>
      <name val="Calibri"/>
      <charset val="1"/>
      <family val="0"/>
      <b val="1"/>
      <color rgb="FF305496"/>
      <sz val="14"/>
    </font>
    <font>
      <name val="Calibri"/>
      <charset val="1"/>
      <family val="0"/>
      <b val="1"/>
      <color rgb="FF1F4E78"/>
      <sz val="16"/>
    </font>
    <font>
      <name val="Calibri"/>
      <charset val="1"/>
      <family val="0"/>
      <i val="1"/>
      <color rgb="FF595959"/>
      <sz val="10"/>
    </font>
    <font>
      <name val="Calibri"/>
      <charset val="1"/>
      <family val="0"/>
      <color rgb="FF1A1A1A"/>
      <sz val="10"/>
    </font>
    <font>
      <name val="Calibri"/>
      <charset val="1"/>
      <family val="0"/>
      <b val="1"/>
      <color rgb="FF1A1A1A"/>
      <sz val="10"/>
    </font>
  </fonts>
  <fills count="25">
    <fill>
      <patternFill/>
    </fill>
    <fill>
      <patternFill patternType="gray125"/>
    </fill>
    <fill>
      <patternFill patternType="solid">
        <fgColor rgb="FFF8CBAD"/>
        <bgColor rgb="FFFFE699"/>
      </patternFill>
    </fill>
    <fill>
      <patternFill patternType="solid">
        <fgColor rgb="FFFFE699"/>
        <bgColor rgb="FFFFF2CC"/>
      </patternFill>
    </fill>
    <fill>
      <patternFill patternType="solid">
        <fgColor rgb="FFC6E0B4"/>
        <bgColor rgb="FFD9D9D9"/>
      </patternFill>
    </fill>
    <fill>
      <patternFill patternType="solid">
        <fgColor rgb="FFDDEBF7"/>
        <bgColor rgb="FFE2EFDA"/>
      </patternFill>
    </fill>
    <fill>
      <patternFill patternType="solid">
        <fgColor rgb="FF305496"/>
        <bgColor rgb="FF1F4E78"/>
      </patternFill>
    </fill>
    <fill>
      <patternFill patternType="solid">
        <fgColor rgb="FF1F4E78"/>
        <bgColor rgb="FF305496"/>
      </patternFill>
    </fill>
    <fill>
      <patternFill patternType="solid">
        <fgColor rgb="FFC00000"/>
        <bgColor rgb="FF800000"/>
      </patternFill>
    </fill>
    <fill>
      <patternFill patternType="solid">
        <fgColor rgb="FFED7D31"/>
        <bgColor rgb="FFBF9000"/>
      </patternFill>
    </fill>
    <fill>
      <patternFill patternType="solid">
        <fgColor rgb="FF4472C4"/>
        <bgColor rgb="FF2E75B6"/>
      </patternFill>
    </fill>
    <fill>
      <patternFill patternType="solid">
        <fgColor rgb="FFFFC000"/>
        <bgColor rgb="FFF4B084"/>
      </patternFill>
    </fill>
    <fill>
      <patternFill patternType="solid">
        <fgColor rgb="FFA9D08E"/>
        <bgColor rgb="FFC6E0B4"/>
      </patternFill>
    </fill>
    <fill>
      <patternFill patternType="solid">
        <fgColor rgb="FF2E75B6"/>
        <bgColor rgb="FF4472C4"/>
      </patternFill>
    </fill>
    <fill>
      <patternFill patternType="solid">
        <fgColor rgb="FF8EA9DB"/>
        <bgColor rgb="FF8497B0"/>
      </patternFill>
    </fill>
    <fill>
      <patternFill patternType="solid">
        <fgColor rgb="FF548235"/>
        <bgColor rgb="FF666666"/>
      </patternFill>
    </fill>
    <fill>
      <patternFill patternType="solid">
        <fgColor rgb="FFBF9000"/>
        <bgColor rgb="FFED7D31"/>
      </patternFill>
    </fill>
    <fill>
      <patternFill patternType="solid">
        <fgColor rgb="FF808080"/>
        <bgColor rgb="FF8497B0"/>
      </patternFill>
    </fill>
    <fill>
      <patternFill patternType="solid">
        <fgColor rgb="FFE2EFDA"/>
        <bgColor rgb="FFDDEBF7"/>
      </patternFill>
    </fill>
    <fill>
      <patternFill patternType="solid">
        <fgColor rgb="FFFFF2CC"/>
        <bgColor rgb="FFF2F2F2"/>
      </patternFill>
    </fill>
    <fill>
      <patternFill patternType="solid">
        <fgColor rgb="FFF2F2F2"/>
        <bgColor rgb="FFE2EFDA"/>
      </patternFill>
    </fill>
    <fill>
      <patternFill patternType="solid">
        <fgColor rgb="FFF4B084"/>
        <bgColor rgb="FFF8CBAD"/>
      </patternFill>
    </fill>
    <fill>
      <patternFill patternType="solid">
        <fgColor rgb="FF9DC3E6"/>
        <bgColor rgb="FF8EA9DB"/>
      </patternFill>
    </fill>
    <fill>
      <patternFill patternType="solid">
        <fgColor rgb="FF8497B0"/>
        <bgColor rgb="FF8EA9DB"/>
      </patternFill>
    </fill>
    <fill>
      <patternFill patternType="solid">
        <fgColor rgb="FFD9D9D9"/>
        <bgColor rgb="FFCCCCCC"/>
      </patternFill>
    </fill>
  </fills>
  <borders count="16">
    <border>
      <left/>
      <right/>
      <top/>
      <bottom/>
      <diagonal/>
    </border>
    <border>
      <left style="thin">
        <color rgb="FFB4B4B4"/>
      </left>
      <right style="thin">
        <color rgb="FFB4B4B4"/>
      </right>
      <top style="thin">
        <color rgb="FFB4B4B4"/>
      </top>
      <bottom style="thin">
        <color rgb="FFB4B4B4"/>
      </bottom>
      <diagonal/>
    </border>
    <border>
      <left style="medium"/>
      <right style="medium"/>
      <top style="medium"/>
      <bottom style="medium"/>
      <diagonal/>
    </border>
    <border>
      <left/>
      <right style="medium"/>
      <top style="medium"/>
      <bottom style="medium"/>
      <diagonal/>
    </border>
    <border>
      <left style="thin">
        <color rgb="FFCCCCCC"/>
      </left>
      <right style="thin">
        <color rgb="FFCCCCCC"/>
      </right>
      <top style="thin">
        <color rgb="FFCCCCCC"/>
      </top>
      <bottom style="thin">
        <color rgb="FFCCCCCC"/>
      </bottom>
      <diagonal/>
    </border>
    <border>
      <left style="thin">
        <color rgb="FFBFBFBF"/>
      </left>
      <right style="thin">
        <color rgb="FFBFBFBF"/>
      </right>
      <top style="thin">
        <color rgb="FFBFBFBF"/>
      </top>
      <bottom style="thin">
        <color rgb="FFBFBFBF"/>
      </bottom>
      <diagonal/>
    </border>
    <border>
      <left/>
      <right/>
      <top style="thin">
        <color rgb="FFB4B4B4"/>
      </top>
      <bottom/>
      <diagonal/>
    </border>
    <border>
      <left/>
      <right style="thin">
        <color rgb="FFB4B4B4"/>
      </right>
      <top style="thin">
        <color rgb="FFB4B4B4"/>
      </top>
      <bottom/>
      <diagonal/>
    </border>
    <border>
      <left/>
      <right/>
      <top style="thin">
        <color rgb="FFB4B4B4"/>
      </top>
      <bottom style="thin">
        <color rgb="FFB4B4B4"/>
      </bottom>
      <diagonal/>
    </border>
    <border>
      <left/>
      <right style="thin">
        <color rgb="FFB4B4B4"/>
      </right>
      <top style="thin">
        <color rgb="FFB4B4B4"/>
      </top>
      <bottom style="thin">
        <color rgb="FFB4B4B4"/>
      </bottom>
      <diagonal/>
    </border>
    <border>
      <left/>
      <right/>
      <top style="medium"/>
      <bottom/>
      <diagonal/>
    </border>
    <border>
      <left/>
      <right style="medium"/>
      <top style="medium"/>
      <bottom/>
      <diagonal/>
    </border>
    <border>
      <left/>
      <right/>
      <top style="medium"/>
      <bottom style="mediu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6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left" vertical="top" wrapText="1"/>
    </xf>
    <xf numFmtId="0" fontId="8" fillId="0" borderId="0" applyAlignment="1" pivotButton="0" quotePrefix="0" xfId="0">
      <alignment horizontal="general" vertical="bottom"/>
    </xf>
    <xf numFmtId="0" fontId="9" fillId="0" borderId="0" applyAlignment="1" pivotButton="0" quotePrefix="0" xfId="0">
      <alignment horizontal="left" vertical="top" wrapText="1"/>
    </xf>
    <xf numFmtId="0" fontId="10" fillId="0" borderId="0" applyAlignment="1" pivotButton="0" quotePrefix="0" xfId="0">
      <alignment horizontal="general" vertical="bottom"/>
    </xf>
    <xf numFmtId="0" fontId="6" fillId="2" borderId="0" applyAlignment="1" pivotButton="0" quotePrefix="0" xfId="0">
      <alignment horizontal="center" vertical="center" wrapText="1"/>
    </xf>
    <xf numFmtId="0" fontId="6" fillId="3" borderId="0" applyAlignment="1" pivotButton="0" quotePrefix="0" xfId="0">
      <alignment horizontal="center" vertical="center" wrapText="1"/>
    </xf>
    <xf numFmtId="0" fontId="6" fillId="4" borderId="0" applyAlignment="1" pivotButton="0" quotePrefix="0" xfId="0">
      <alignment horizontal="center" vertical="center" wrapText="1"/>
    </xf>
    <xf numFmtId="0" fontId="6" fillId="5" borderId="0" applyAlignment="1" pivotButton="0" quotePrefix="0" xfId="0">
      <alignment horizontal="center" vertical="center" wrapText="1"/>
    </xf>
    <xf numFmtId="0" fontId="11" fillId="0" borderId="0" applyAlignment="1" pivotButton="0" quotePrefix="0" xfId="0">
      <alignment horizontal="general" vertical="bottom"/>
    </xf>
    <xf numFmtId="0" fontId="12" fillId="0" borderId="0" applyAlignment="1" pivotButton="0" quotePrefix="0" xfId="0">
      <alignment horizontal="general" vertical="top" wrapText="1"/>
    </xf>
    <xf numFmtId="0" fontId="13" fillId="6" borderId="1" applyAlignment="1" pivotButton="0" quotePrefix="0" xfId="0">
      <alignment horizontal="center" vertical="center" wrapText="1"/>
    </xf>
    <xf numFmtId="0" fontId="0" fillId="0" borderId="1" applyAlignment="1" pivotButton="0" quotePrefix="0" xfId="0">
      <alignment horizontal="center" vertical="top"/>
    </xf>
    <xf numFmtId="0" fontId="13" fillId="7" borderId="1" applyAlignment="1" pivotButton="0" quotePrefix="0" xfId="0">
      <alignment horizontal="general" vertical="center" wrapText="1"/>
    </xf>
    <xf numFmtId="0" fontId="0" fillId="0" borderId="1" applyAlignment="1" pivotButton="0" quotePrefix="0" xfId="0">
      <alignment horizontal="general" vertical="top" wrapText="1"/>
    </xf>
    <xf numFmtId="0" fontId="14" fillId="0" borderId="0" applyAlignment="1" pivotButton="0" quotePrefix="0" xfId="0">
      <alignment horizontal="general" vertical="bottom"/>
    </xf>
    <xf numFmtId="0" fontId="15" fillId="0" borderId="0" applyAlignment="1" pivotButton="0" quotePrefix="0" xfId="0">
      <alignment horizontal="general" vertical="top" wrapText="1"/>
    </xf>
    <xf numFmtId="0" fontId="16" fillId="0" borderId="0" applyAlignment="1" pivotButton="0" quotePrefix="0" xfId="0">
      <alignment horizontal="general" vertical="bottom"/>
    </xf>
    <xf numFmtId="0" fontId="12" fillId="0" borderId="0" applyAlignment="1" pivotButton="0" quotePrefix="0" xfId="0">
      <alignment horizontal="general" vertical="bottom"/>
    </xf>
    <xf numFmtId="0" fontId="17" fillId="7" borderId="0" applyAlignment="1" pivotButton="0" quotePrefix="0" xfId="0">
      <alignment horizontal="general" vertical="center"/>
    </xf>
    <xf numFmtId="0" fontId="18" fillId="0" borderId="1" applyAlignment="1" pivotButton="0" quotePrefix="0" xfId="0">
      <alignment horizontal="center" vertical="top"/>
    </xf>
    <xf numFmtId="0" fontId="13" fillId="6" borderId="1" applyAlignment="1" pivotButton="0" quotePrefix="0" xfId="0">
      <alignment horizontal="center" vertical="center"/>
    </xf>
    <xf numFmtId="0" fontId="19" fillId="0" borderId="1" applyAlignment="1" pivotButton="0" quotePrefix="0" xfId="0">
      <alignment horizontal="general" vertical="top" wrapText="1"/>
    </xf>
    <xf numFmtId="0" fontId="18" fillId="0" borderId="1" applyAlignment="1" pivotButton="0" quotePrefix="0" xfId="0">
      <alignment horizontal="center" vertical="center"/>
    </xf>
    <xf numFmtId="0" fontId="18" fillId="0" borderId="1" applyAlignment="1" pivotButton="0" quotePrefix="0" xfId="0">
      <alignment horizontal="general" vertical="top" wrapText="1"/>
    </xf>
    <xf numFmtId="0" fontId="20" fillId="0" borderId="1" applyAlignment="1" pivotButton="0" quotePrefix="0" xfId="0">
      <alignment horizontal="general" vertical="top" wrapText="1"/>
    </xf>
    <xf numFmtId="0" fontId="10" fillId="0" borderId="1" applyAlignment="1" pivotButton="0" quotePrefix="0" xfId="0">
      <alignment horizontal="center" vertical="center"/>
    </xf>
    <xf numFmtId="0" fontId="21" fillId="0" borderId="1" applyAlignment="1" pivotButton="0" quotePrefix="0" xfId="0">
      <alignment horizontal="center" vertical="center"/>
    </xf>
    <xf numFmtId="0" fontId="10" fillId="0" borderId="1" applyAlignment="1" pivotButton="0" quotePrefix="0" xfId="0">
      <alignment horizontal="general" vertical="top" wrapText="1"/>
    </xf>
    <xf numFmtId="0" fontId="22" fillId="0" borderId="0" applyAlignment="1" pivotButton="0" quotePrefix="0" xfId="0">
      <alignment horizontal="general" vertical="bottom"/>
    </xf>
    <xf numFmtId="0" fontId="0" fillId="0" borderId="1" applyAlignment="1" pivotButton="0" quotePrefix="0" xfId="0">
      <alignment horizontal="center" vertical="bottom"/>
    </xf>
    <xf numFmtId="0" fontId="13" fillId="8" borderId="1" applyAlignment="1" pivotButton="0" quotePrefix="0" xfId="0">
      <alignment horizontal="center" vertical="center"/>
    </xf>
    <xf numFmtId="0" fontId="13" fillId="8" borderId="1" applyAlignment="1" pivotButton="0" quotePrefix="0" xfId="0">
      <alignment horizontal="general" vertical="top" wrapText="1"/>
    </xf>
    <xf numFmtId="0" fontId="13" fillId="9" borderId="1" applyAlignment="1" pivotButton="0" quotePrefix="0" xfId="0">
      <alignment horizontal="center" vertical="center"/>
    </xf>
    <xf numFmtId="0" fontId="23" fillId="0" borderId="1" applyAlignment="1" pivotButton="0" quotePrefix="0" xfId="0">
      <alignment horizontal="general" vertical="top" wrapText="1"/>
    </xf>
    <xf numFmtId="0" fontId="24" fillId="10" borderId="1" applyAlignment="1" pivotButton="0" quotePrefix="0" xfId="0">
      <alignment horizontal="left" vertical="center" wrapText="1"/>
    </xf>
    <xf numFmtId="0" fontId="25" fillId="0" borderId="1" applyAlignment="1" pivotButton="0" quotePrefix="0" xfId="0">
      <alignment horizontal="general" vertical="top" wrapText="1"/>
    </xf>
    <xf numFmtId="0" fontId="26" fillId="0" borderId="0" applyAlignment="1" pivotButton="0" quotePrefix="0" xfId="0">
      <alignment horizontal="general" vertical="bottom"/>
    </xf>
    <xf numFmtId="0" fontId="0" fillId="0" borderId="0" applyAlignment="1" pivotButton="0" quotePrefix="0" xfId="0">
      <alignment horizontal="general" vertical="top" wrapText="1"/>
    </xf>
    <xf numFmtId="0" fontId="24" fillId="10" borderId="0" applyAlignment="1" pivotButton="0" quotePrefix="0" xfId="0">
      <alignment horizontal="general" vertical="center"/>
    </xf>
    <xf numFmtId="0" fontId="25" fillId="0" borderId="1" applyAlignment="1" pivotButton="0" quotePrefix="0" xfId="0">
      <alignment horizontal="center" vertical="center"/>
    </xf>
    <xf numFmtId="0" fontId="24" fillId="10" borderId="0" applyAlignment="1" pivotButton="0" quotePrefix="0" xfId="0">
      <alignment horizontal="general" vertical="center"/>
    </xf>
    <xf numFmtId="0" fontId="27" fillId="9" borderId="1" applyAlignment="1" pivotButton="0" quotePrefix="0" xfId="0">
      <alignment horizontal="center" vertical="center"/>
    </xf>
    <xf numFmtId="0" fontId="28" fillId="8" borderId="1" applyAlignment="1" pivotButton="0" quotePrefix="0" xfId="0">
      <alignment horizontal="center" vertical="center"/>
    </xf>
    <xf numFmtId="0" fontId="28" fillId="9" borderId="1" applyAlignment="1" pivotButton="0" quotePrefix="0" xfId="0">
      <alignment horizontal="center" vertical="center"/>
    </xf>
    <xf numFmtId="0" fontId="27" fillId="11" borderId="1" applyAlignment="1" pivotButton="0" quotePrefix="0" xfId="0">
      <alignment horizontal="center" vertical="center"/>
    </xf>
    <xf numFmtId="0" fontId="27" fillId="12" borderId="1" applyAlignment="1" pivotButton="0" quotePrefix="0" xfId="0">
      <alignment horizontal="center" vertical="center"/>
    </xf>
    <xf numFmtId="0" fontId="29" fillId="13" borderId="0" applyAlignment="1" pivotButton="0" quotePrefix="0" xfId="0">
      <alignment horizontal="center" vertical="center"/>
    </xf>
    <xf numFmtId="0" fontId="30" fillId="0" borderId="0" applyAlignment="1" pivotButton="0" quotePrefix="0" xfId="0">
      <alignment horizontal="center" vertical="center" wrapText="1"/>
    </xf>
    <xf numFmtId="0" fontId="31" fillId="14" borderId="0" applyAlignment="1" pivotButton="0" quotePrefix="0" xfId="0">
      <alignment horizontal="center" vertical="center"/>
    </xf>
    <xf numFmtId="0" fontId="10" fillId="3" borderId="2" applyAlignment="1" pivotButton="0" quotePrefix="0" xfId="0">
      <alignment horizontal="general" vertical="center" wrapText="1"/>
    </xf>
    <xf numFmtId="0" fontId="32" fillId="3" borderId="2" applyAlignment="1" pivotButton="0" quotePrefix="0" xfId="0">
      <alignment horizontal="center" vertical="center"/>
    </xf>
    <xf numFmtId="0" fontId="30" fillId="3" borderId="2" applyAlignment="1" pivotButton="0" quotePrefix="0" xfId="0">
      <alignment horizontal="general" vertical="center" wrapText="1"/>
    </xf>
    <xf numFmtId="0" fontId="10" fillId="0" borderId="1" applyAlignment="1" pivotButton="0" quotePrefix="0" xfId="0">
      <alignment horizontal="general" vertical="center" wrapText="1"/>
    </xf>
    <xf numFmtId="0" fontId="33" fillId="0" borderId="1" applyAlignment="1" pivotButton="0" quotePrefix="0" xfId="0">
      <alignment horizontal="center" vertical="center"/>
    </xf>
    <xf numFmtId="0" fontId="30" fillId="0" borderId="1" applyAlignment="1" pivotButton="0" quotePrefix="0" xfId="0">
      <alignment horizontal="general" vertical="center" wrapText="1"/>
    </xf>
    <xf numFmtId="0" fontId="26"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general" vertical="center" wrapText="1"/>
    </xf>
    <xf numFmtId="164" fontId="0" fillId="0" borderId="1" applyAlignment="1" pivotButton="0" quotePrefix="0" xfId="0">
      <alignment horizontal="right" vertical="center"/>
    </xf>
    <xf numFmtId="164" fontId="10" fillId="0" borderId="1" applyAlignment="1" pivotButton="0" quotePrefix="0" xfId="0">
      <alignment horizontal="right" vertical="center"/>
    </xf>
    <xf numFmtId="0" fontId="0" fillId="0" borderId="1" applyAlignment="1" pivotButton="0" quotePrefix="0" xfId="0">
      <alignment horizontal="center" vertical="center" wrapText="1"/>
    </xf>
    <xf numFmtId="164" fontId="34" fillId="0" borderId="1" applyAlignment="1" pivotButton="0" quotePrefix="0" xfId="0">
      <alignment horizontal="right" vertical="center"/>
    </xf>
    <xf numFmtId="0" fontId="13" fillId="15" borderId="1" applyAlignment="1" pivotButton="0" quotePrefix="0" xfId="0">
      <alignment horizontal="center" vertical="center"/>
    </xf>
    <xf numFmtId="0" fontId="13" fillId="16" borderId="1" applyAlignment="1" pivotButton="0" quotePrefix="0" xfId="0">
      <alignment horizontal="center" vertical="center"/>
    </xf>
    <xf numFmtId="0" fontId="13" fillId="17" borderId="1" applyAlignment="1" pivotButton="0" quotePrefix="0" xfId="0">
      <alignment horizontal="center" vertical="center"/>
    </xf>
    <xf numFmtId="0" fontId="0" fillId="18" borderId="1" applyAlignment="1" pivotButton="0" quotePrefix="0" xfId="0">
      <alignment horizontal="center" vertical="bottom"/>
    </xf>
    <xf numFmtId="0" fontId="10" fillId="18" borderId="1" applyAlignment="1" pivotButton="0" quotePrefix="0" xfId="0">
      <alignment horizontal="general" vertical="bottom"/>
    </xf>
    <xf numFmtId="164" fontId="10" fillId="18" borderId="1" applyAlignment="1" pivotButton="0" quotePrefix="0" xfId="0">
      <alignment horizontal="right" vertical="bottom"/>
    </xf>
    <xf numFmtId="164" fontId="35" fillId="18" borderId="1" applyAlignment="1" pivotButton="0" quotePrefix="0" xfId="0">
      <alignment horizontal="right" vertical="bottom"/>
    </xf>
    <xf numFmtId="0" fontId="0" fillId="18" borderId="1" applyAlignment="1" pivotButton="0" quotePrefix="0" xfId="0">
      <alignment horizontal="general" vertical="bottom"/>
    </xf>
    <xf numFmtId="0" fontId="0" fillId="19" borderId="1" applyAlignment="1" pivotButton="0" quotePrefix="0" xfId="0">
      <alignment horizontal="general" vertical="bottom"/>
    </xf>
    <xf numFmtId="0" fontId="10" fillId="19" borderId="1" applyAlignment="1" pivotButton="0" quotePrefix="0" xfId="0">
      <alignment horizontal="general" vertical="bottom"/>
    </xf>
    <xf numFmtId="164" fontId="10" fillId="19" borderId="1" applyAlignment="1" pivotButton="0" quotePrefix="0" xfId="0">
      <alignment horizontal="right" vertical="bottom"/>
    </xf>
    <xf numFmtId="164" fontId="36" fillId="19" borderId="1" applyAlignment="1" pivotButton="0" quotePrefix="0" xfId="0">
      <alignment horizontal="right" vertical="bottom"/>
    </xf>
    <xf numFmtId="0" fontId="0" fillId="20" borderId="1" applyAlignment="1" pivotButton="0" quotePrefix="0" xfId="0">
      <alignment horizontal="general" vertical="bottom"/>
    </xf>
    <xf numFmtId="0" fontId="10" fillId="20" borderId="1" applyAlignment="1" pivotButton="0" quotePrefix="0" xfId="0">
      <alignment horizontal="general" vertical="bottom"/>
    </xf>
    <xf numFmtId="164" fontId="0" fillId="20" borderId="1" applyAlignment="1" pivotButton="0" quotePrefix="0" xfId="0">
      <alignment horizontal="right" vertical="bottom"/>
    </xf>
    <xf numFmtId="164" fontId="37" fillId="20" borderId="1" applyAlignment="1" pivotButton="0" quotePrefix="0" xfId="0">
      <alignment horizontal="right" vertical="bottom"/>
    </xf>
    <xf numFmtId="0" fontId="38" fillId="0" borderId="0" applyAlignment="1" pivotButton="0" quotePrefix="0" xfId="0">
      <alignment horizontal="general" vertical="top" wrapText="1"/>
    </xf>
    <xf numFmtId="0" fontId="0" fillId="3" borderId="2" applyAlignment="1" pivotButton="0" quotePrefix="0" xfId="0">
      <alignment horizontal="general" vertical="bottom"/>
    </xf>
    <xf numFmtId="0" fontId="39" fillId="3" borderId="2" applyAlignment="1" pivotButton="0" quotePrefix="0" xfId="0">
      <alignment horizontal="general" vertical="bottom"/>
    </xf>
    <xf numFmtId="164" fontId="39" fillId="3" borderId="2" applyAlignment="1" pivotButton="0" quotePrefix="0" xfId="0">
      <alignment horizontal="right" vertical="bottom"/>
    </xf>
    <xf numFmtId="164" fontId="32" fillId="3" borderId="2" applyAlignment="1" pivotButton="0" quotePrefix="0" xfId="0">
      <alignment horizontal="right" vertical="bottom"/>
    </xf>
    <xf numFmtId="0" fontId="0" fillId="0" borderId="3" applyAlignment="1" pivotButton="0" quotePrefix="0" xfId="0">
      <alignment horizontal="general" vertical="bottom"/>
    </xf>
    <xf numFmtId="0" fontId="0" fillId="0" borderId="0" applyAlignment="1" pivotButton="0" quotePrefix="0" xfId="0">
      <alignment horizontal="general" vertical="bottom"/>
    </xf>
    <xf numFmtId="0" fontId="40" fillId="0" borderId="1" applyAlignment="1" pivotButton="0" quotePrefix="0" xfId="0">
      <alignment horizontal="center" vertical="center" wrapText="1"/>
    </xf>
    <xf numFmtId="0" fontId="40" fillId="4" borderId="1" applyAlignment="1" pivotButton="0" quotePrefix="0" xfId="0">
      <alignment horizontal="center" vertical="center" wrapText="1"/>
    </xf>
    <xf numFmtId="0" fontId="40" fillId="21" borderId="1" applyAlignment="1" pivotButton="0" quotePrefix="0" xfId="0">
      <alignment horizontal="center" vertical="center" wrapText="1"/>
    </xf>
    <xf numFmtId="0" fontId="31" fillId="16" borderId="1" applyAlignment="1" pivotButton="0" quotePrefix="0" xfId="0">
      <alignment horizontal="center" vertical="center" wrapText="1"/>
    </xf>
    <xf numFmtId="0" fontId="13" fillId="8" borderId="1" applyAlignment="1" pivotButton="0" quotePrefix="0" xfId="0">
      <alignment horizontal="center" vertical="center" wrapText="1"/>
    </xf>
    <xf numFmtId="0" fontId="13" fillId="15" borderId="1" applyAlignment="1" pivotButton="0" quotePrefix="0" xfId="0">
      <alignment horizontal="center" vertical="center" wrapText="1"/>
    </xf>
    <xf numFmtId="0" fontId="31" fillId="0" borderId="1" applyAlignment="1" pivotButton="0" quotePrefix="0" xfId="0">
      <alignment horizontal="center" vertical="center" wrapText="1"/>
    </xf>
    <xf numFmtId="0" fontId="31" fillId="16" borderId="1" applyAlignment="1" pivotButton="0" quotePrefix="0" xfId="0">
      <alignment horizontal="center" vertical="center"/>
    </xf>
    <xf numFmtId="0" fontId="41" fillId="7" borderId="4" applyAlignment="1" pivotButton="0" quotePrefix="0" xfId="0">
      <alignment horizontal="center" vertical="center" wrapText="1"/>
    </xf>
    <xf numFmtId="0" fontId="7" fillId="0" borderId="4" applyAlignment="1" pivotButton="0" quotePrefix="0" xfId="0">
      <alignment horizontal="left" vertical="top" wrapText="1"/>
    </xf>
    <xf numFmtId="0" fontId="41" fillId="0" borderId="1" applyAlignment="1" pivotButton="0" quotePrefix="0" xfId="0">
      <alignment horizontal="center" vertical="bottom"/>
    </xf>
    <xf numFmtId="0" fontId="42" fillId="0" borderId="1" applyAlignment="1" pivotButton="0" quotePrefix="0" xfId="0">
      <alignment horizontal="center" vertical="top"/>
    </xf>
    <xf numFmtId="0" fontId="42" fillId="0" borderId="1" applyAlignment="1" pivotButton="0" quotePrefix="0" xfId="0">
      <alignment horizontal="general" vertical="top" wrapText="1"/>
    </xf>
    <xf numFmtId="0" fontId="7" fillId="0" borderId="1" applyAlignment="1" pivotButton="0" quotePrefix="0" xfId="0">
      <alignment horizontal="center" vertical="bottom"/>
    </xf>
    <xf numFmtId="0" fontId="7" fillId="0" borderId="1" applyAlignment="1" pivotButton="0" quotePrefix="0" xfId="0">
      <alignment horizontal="center" vertical="top"/>
    </xf>
    <xf numFmtId="0" fontId="7" fillId="0" borderId="1" applyAlignment="1" pivotButton="0" quotePrefix="0" xfId="0">
      <alignment horizontal="general" vertical="top" wrapText="1"/>
    </xf>
    <xf numFmtId="0" fontId="31" fillId="22" borderId="1" applyAlignment="1" pivotButton="0" quotePrefix="0" xfId="0">
      <alignment horizontal="center" vertical="center"/>
    </xf>
    <xf numFmtId="0" fontId="31" fillId="11" borderId="1" applyAlignment="1" pivotButton="0" quotePrefix="0" xfId="0">
      <alignment horizontal="center" vertical="center"/>
    </xf>
    <xf numFmtId="0" fontId="6" fillId="4" borderId="4" applyAlignment="1" pivotButton="0" quotePrefix="0" xfId="0">
      <alignment horizontal="center" vertical="center" wrapText="1"/>
    </xf>
    <xf numFmtId="0" fontId="6" fillId="3" borderId="4" applyAlignment="1" pivotButton="0" quotePrefix="0" xfId="0">
      <alignment horizontal="center" vertical="center" wrapText="1"/>
    </xf>
    <xf numFmtId="0" fontId="31" fillId="12" borderId="1" applyAlignment="1" pivotButton="0" quotePrefix="0" xfId="0">
      <alignment horizontal="center" vertical="center"/>
    </xf>
    <xf numFmtId="0" fontId="0" fillId="0" borderId="1" applyAlignment="1" pivotButton="0" quotePrefix="0" xfId="0">
      <alignment horizontal="center" vertical="top" wrapText="1"/>
    </xf>
    <xf numFmtId="0" fontId="43" fillId="0" borderId="0" applyAlignment="1" pivotButton="0" quotePrefix="0" xfId="0">
      <alignment horizontal="general" vertical="bottom"/>
    </xf>
    <xf numFmtId="0" fontId="12" fillId="0" borderId="0" applyAlignment="1" pivotButton="0" quotePrefix="0" xfId="0">
      <alignment horizontal="general" vertical="bottom" wrapText="1"/>
    </xf>
    <xf numFmtId="0" fontId="44" fillId="0" borderId="0" applyAlignment="1" pivotButton="0" quotePrefix="0" xfId="0">
      <alignment horizontal="general" vertical="bottom" wrapText="1"/>
    </xf>
    <xf numFmtId="0" fontId="24" fillId="10" borderId="0" applyAlignment="1" pivotButton="0" quotePrefix="0" xfId="0">
      <alignment horizontal="left" vertical="center"/>
    </xf>
    <xf numFmtId="0" fontId="27" fillId="22" borderId="1" applyAlignment="1" pivotButton="0" quotePrefix="0" xfId="0">
      <alignment horizontal="center" vertical="center"/>
    </xf>
    <xf numFmtId="0" fontId="27" fillId="23" borderId="1" applyAlignment="1" pivotButton="0" quotePrefix="0" xfId="0">
      <alignment horizontal="center" vertical="center"/>
    </xf>
    <xf numFmtId="0" fontId="27" fillId="24" borderId="1" applyAlignment="1" pivotButton="0" quotePrefix="0" xfId="0">
      <alignment horizontal="center" vertical="center"/>
    </xf>
    <xf numFmtId="0" fontId="45" fillId="0" borderId="0" applyAlignment="1" pivotButton="0" quotePrefix="0" xfId="0">
      <alignment horizontal="general" vertical="bottom"/>
    </xf>
    <xf numFmtId="0" fontId="28" fillId="23" borderId="1" applyAlignment="1" pivotButton="0" quotePrefix="0" xfId="0">
      <alignment horizontal="center" vertical="center"/>
    </xf>
    <xf numFmtId="0" fontId="46" fillId="0" borderId="0" applyAlignment="1" pivotButton="0" quotePrefix="0" xfId="0">
      <alignment horizontal="left" vertical="center"/>
    </xf>
    <xf numFmtId="0" fontId="47" fillId="0" borderId="0" applyAlignment="1" pivotButton="0" quotePrefix="0" xfId="0">
      <alignment horizontal="left" vertical="center" wrapText="1"/>
    </xf>
    <xf numFmtId="0" fontId="13" fillId="6" borderId="5" applyAlignment="1" pivotButton="0" quotePrefix="0" xfId="0">
      <alignment horizontal="center" vertical="center" wrapText="1"/>
    </xf>
    <xf numFmtId="0" fontId="48" fillId="0" borderId="5" applyAlignment="1" pivotButton="0" quotePrefix="0" xfId="0">
      <alignment horizontal="left" vertical="center" wrapText="1"/>
    </xf>
    <xf numFmtId="0" fontId="48" fillId="0" borderId="5" applyAlignment="1" pivotButton="0" quotePrefix="0" xfId="0">
      <alignment horizontal="center" vertical="center" wrapText="1"/>
    </xf>
    <xf numFmtId="2" fontId="48" fillId="0" borderId="5" applyAlignment="1" pivotButton="0" quotePrefix="0" xfId="0">
      <alignment horizontal="center" vertical="center" wrapText="1"/>
    </xf>
    <xf numFmtId="165" fontId="48" fillId="0" borderId="5" applyAlignment="1" pivotButton="0" quotePrefix="0" xfId="0">
      <alignment horizontal="center" vertical="center" wrapText="1"/>
    </xf>
    <xf numFmtId="2" fontId="48" fillId="0" borderId="5" applyAlignment="1" pivotButton="0" quotePrefix="0" xfId="0">
      <alignment horizontal="left" vertical="center" wrapText="1"/>
    </xf>
    <xf numFmtId="165" fontId="48" fillId="0" borderId="5" applyAlignment="1" pivotButton="0" quotePrefix="0" xfId="0">
      <alignment horizontal="left" vertical="center" wrapText="1"/>
    </xf>
    <xf numFmtId="0" fontId="49" fillId="0" borderId="5" applyAlignment="1" pivotButton="0" quotePrefix="0" xfId="0">
      <alignment horizontal="left" vertical="center" wrapText="1"/>
    </xf>
    <xf numFmtId="3" fontId="48" fillId="0" borderId="5" applyAlignment="1" pivotButton="0" quotePrefix="0" xfId="0">
      <alignment horizontal="left" vertical="center" wrapText="1"/>
    </xf>
    <xf numFmtId="0" fontId="48" fillId="0" borderId="0"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left" vertical="top" wrapText="1"/>
    </xf>
    <xf numFmtId="0" fontId="8" fillId="0" borderId="0" applyAlignment="1" pivotButton="0" quotePrefix="0" xfId="0">
      <alignment horizontal="general" vertical="bottom"/>
    </xf>
    <xf numFmtId="0" fontId="9" fillId="0" borderId="0" applyAlignment="1" pivotButton="0" quotePrefix="0" xfId="0">
      <alignment horizontal="left" vertical="top" wrapText="1"/>
    </xf>
    <xf numFmtId="0" fontId="10" fillId="0" borderId="0" applyAlignment="1" pivotButton="0" quotePrefix="0" xfId="0">
      <alignment horizontal="general" vertical="bottom"/>
    </xf>
    <xf numFmtId="0" fontId="6" fillId="2" borderId="0" applyAlignment="1" pivotButton="0" quotePrefix="0" xfId="0">
      <alignment horizontal="center" vertical="center" wrapText="1"/>
    </xf>
    <xf numFmtId="0" fontId="6" fillId="3" borderId="0" applyAlignment="1" pivotButton="0" quotePrefix="0" xfId="0">
      <alignment horizontal="center" vertical="center" wrapText="1"/>
    </xf>
    <xf numFmtId="0" fontId="6" fillId="4" borderId="0" applyAlignment="1" pivotButton="0" quotePrefix="0" xfId="0">
      <alignment horizontal="center" vertical="center" wrapText="1"/>
    </xf>
    <xf numFmtId="0" fontId="6" fillId="5" borderId="0" applyAlignment="1" pivotButton="0" quotePrefix="0" xfId="0">
      <alignment horizontal="center" vertical="center" wrapText="1"/>
    </xf>
    <xf numFmtId="0" fontId="11" fillId="0" borderId="0" applyAlignment="1" pivotButton="0" quotePrefix="0" xfId="0">
      <alignment horizontal="general" vertical="bottom"/>
    </xf>
    <xf numFmtId="0" fontId="12" fillId="0" borderId="0" applyAlignment="1" pivotButton="0" quotePrefix="0" xfId="0">
      <alignment horizontal="general" vertical="top" wrapText="1"/>
    </xf>
    <xf numFmtId="0" fontId="13" fillId="6" borderId="1" applyAlignment="1" pivotButton="0" quotePrefix="0" xfId="0">
      <alignment horizontal="center" vertical="center" wrapText="1"/>
    </xf>
    <xf numFmtId="0" fontId="0" fillId="0" borderId="1" applyAlignment="1" pivotButton="0" quotePrefix="0" xfId="0">
      <alignment horizontal="center" vertical="top"/>
    </xf>
    <xf numFmtId="0" fontId="13" fillId="7" borderId="1" applyAlignment="1" pivotButton="0" quotePrefix="0" xfId="0">
      <alignment horizontal="general" vertical="center" wrapText="1"/>
    </xf>
    <xf numFmtId="0" fontId="0" fillId="0" borderId="1" applyAlignment="1" pivotButton="0" quotePrefix="0" xfId="0">
      <alignment horizontal="general" vertical="top" wrapText="1"/>
    </xf>
    <xf numFmtId="0" fontId="14" fillId="0" borderId="0" applyAlignment="1" pivotButton="0" quotePrefix="0" xfId="0">
      <alignment horizontal="general" vertical="bottom"/>
    </xf>
    <xf numFmtId="0" fontId="15" fillId="0" borderId="0" applyAlignment="1" pivotButton="0" quotePrefix="0" xfId="0">
      <alignment horizontal="general" vertical="top" wrapText="1"/>
    </xf>
    <xf numFmtId="0" fontId="16" fillId="0" borderId="0" applyAlignment="1" pivotButton="0" quotePrefix="0" xfId="0">
      <alignment horizontal="general" vertical="bottom"/>
    </xf>
    <xf numFmtId="0" fontId="12" fillId="0" borderId="0" applyAlignment="1" pivotButton="0" quotePrefix="0" xfId="0">
      <alignment horizontal="general" vertical="bottom"/>
    </xf>
    <xf numFmtId="0" fontId="17" fillId="7" borderId="0" applyAlignment="1" pivotButton="0" quotePrefix="0" xfId="0">
      <alignment horizontal="general" vertical="center"/>
    </xf>
    <xf numFmtId="0" fontId="18" fillId="0" borderId="1" applyAlignment="1" pivotButton="0" quotePrefix="0" xfId="0">
      <alignment horizontal="center" vertical="top"/>
    </xf>
    <xf numFmtId="0" fontId="0" fillId="0" borderId="8" pivotButton="0" quotePrefix="0" xfId="0"/>
    <xf numFmtId="0" fontId="0" fillId="0" borderId="9" pivotButton="0" quotePrefix="0" xfId="0"/>
    <xf numFmtId="0" fontId="13" fillId="6" borderId="1" applyAlignment="1" pivotButton="0" quotePrefix="0" xfId="0">
      <alignment horizontal="center" vertical="center"/>
    </xf>
    <xf numFmtId="0" fontId="19" fillId="0" borderId="1" applyAlignment="1" pivotButton="0" quotePrefix="0" xfId="0">
      <alignment horizontal="general" vertical="top" wrapText="1"/>
    </xf>
    <xf numFmtId="0" fontId="18" fillId="0" borderId="1" applyAlignment="1" pivotButton="0" quotePrefix="0" xfId="0">
      <alignment horizontal="center" vertical="center"/>
    </xf>
    <xf numFmtId="0" fontId="18" fillId="0" borderId="1" applyAlignment="1" pivotButton="0" quotePrefix="0" xfId="0">
      <alignment horizontal="general" vertical="top" wrapText="1"/>
    </xf>
    <xf numFmtId="0" fontId="20" fillId="0" borderId="1" applyAlignment="1" pivotButton="0" quotePrefix="0" xfId="0">
      <alignment horizontal="general" vertical="top" wrapText="1"/>
    </xf>
    <xf numFmtId="0" fontId="10" fillId="0" borderId="1" applyAlignment="1" pivotButton="0" quotePrefix="0" xfId="0">
      <alignment horizontal="center" vertical="center"/>
    </xf>
    <xf numFmtId="0" fontId="21" fillId="0" borderId="1" applyAlignment="1" pivotButton="0" quotePrefix="0" xfId="0">
      <alignment horizontal="center" vertical="center"/>
    </xf>
    <xf numFmtId="0" fontId="10" fillId="0" borderId="1" applyAlignment="1" pivotButton="0" quotePrefix="0" xfId="0">
      <alignment horizontal="general" vertical="top" wrapText="1"/>
    </xf>
    <xf numFmtId="0" fontId="22" fillId="0" borderId="0" applyAlignment="1" pivotButton="0" quotePrefix="0" xfId="0">
      <alignment horizontal="general" vertical="bottom"/>
    </xf>
    <xf numFmtId="0" fontId="0" fillId="0" borderId="1" applyAlignment="1" pivotButton="0" quotePrefix="0" xfId="0">
      <alignment horizontal="center" vertical="bottom"/>
    </xf>
    <xf numFmtId="0" fontId="13" fillId="8" borderId="1" applyAlignment="1" pivotButton="0" quotePrefix="0" xfId="0">
      <alignment horizontal="center" vertical="center"/>
    </xf>
    <xf numFmtId="0" fontId="13" fillId="8" borderId="1" applyAlignment="1" pivotButton="0" quotePrefix="0" xfId="0">
      <alignment horizontal="general" vertical="top" wrapText="1"/>
    </xf>
    <xf numFmtId="0" fontId="13" fillId="9" borderId="1" applyAlignment="1" pivotButton="0" quotePrefix="0" xfId="0">
      <alignment horizontal="center" vertical="center"/>
    </xf>
    <xf numFmtId="0" fontId="23" fillId="0" borderId="1" applyAlignment="1" pivotButton="0" quotePrefix="0" xfId="0">
      <alignment horizontal="general" vertical="top" wrapText="1"/>
    </xf>
    <xf numFmtId="0" fontId="24" fillId="10" borderId="1" applyAlignment="1" pivotButton="0" quotePrefix="0" xfId="0">
      <alignment horizontal="left" vertical="center" wrapText="1"/>
    </xf>
    <xf numFmtId="0" fontId="25" fillId="0" borderId="1" applyAlignment="1" pivotButton="0" quotePrefix="0" xfId="0">
      <alignment horizontal="general" vertical="top" wrapText="1"/>
    </xf>
    <xf numFmtId="0" fontId="26" fillId="0" borderId="0" applyAlignment="1" pivotButton="0" quotePrefix="0" xfId="0">
      <alignment horizontal="general" vertical="bottom"/>
    </xf>
    <xf numFmtId="0" fontId="0" fillId="0" borderId="0" applyAlignment="1" pivotButton="0" quotePrefix="0" xfId="0">
      <alignment horizontal="general" vertical="top" wrapText="1"/>
    </xf>
    <xf numFmtId="0" fontId="24" fillId="10" borderId="0" applyAlignment="1" pivotButton="0" quotePrefix="0" xfId="0">
      <alignment horizontal="general" vertical="center"/>
    </xf>
    <xf numFmtId="0" fontId="25" fillId="0" borderId="1" applyAlignment="1" pivotButton="0" quotePrefix="0" xfId="0">
      <alignment horizontal="center" vertical="center"/>
    </xf>
    <xf numFmtId="0" fontId="27" fillId="9" borderId="1" applyAlignment="1" pivotButton="0" quotePrefix="0" xfId="0">
      <alignment horizontal="center" vertical="center"/>
    </xf>
    <xf numFmtId="0" fontId="28" fillId="8" borderId="1" applyAlignment="1" pivotButton="0" quotePrefix="0" xfId="0">
      <alignment horizontal="center" vertical="center"/>
    </xf>
    <xf numFmtId="0" fontId="28" fillId="9" borderId="1" applyAlignment="1" pivotButton="0" quotePrefix="0" xfId="0">
      <alignment horizontal="center" vertical="center"/>
    </xf>
    <xf numFmtId="0" fontId="27" fillId="11" borderId="1" applyAlignment="1" pivotButton="0" quotePrefix="0" xfId="0">
      <alignment horizontal="center" vertical="center"/>
    </xf>
    <xf numFmtId="0" fontId="27" fillId="12" borderId="1" applyAlignment="1" pivotButton="0" quotePrefix="0" xfId="0">
      <alignment horizontal="center" vertical="center"/>
    </xf>
    <xf numFmtId="0" fontId="29" fillId="13" borderId="0" applyAlignment="1" pivotButton="0" quotePrefix="0" xfId="0">
      <alignment horizontal="center" vertical="center"/>
    </xf>
    <xf numFmtId="0" fontId="30" fillId="0" borderId="0" applyAlignment="1" pivotButton="0" quotePrefix="0" xfId="0">
      <alignment horizontal="center" vertical="center" wrapText="1"/>
    </xf>
    <xf numFmtId="0" fontId="31" fillId="14" borderId="0" applyAlignment="1" pivotButton="0" quotePrefix="0" xfId="0">
      <alignment horizontal="center" vertical="center"/>
    </xf>
    <xf numFmtId="0" fontId="10" fillId="3" borderId="2" applyAlignment="1" pivotButton="0" quotePrefix="0" xfId="0">
      <alignment horizontal="general" vertical="center" wrapText="1"/>
    </xf>
    <xf numFmtId="0" fontId="0" fillId="0" borderId="12" pivotButton="0" quotePrefix="0" xfId="0"/>
    <xf numFmtId="0" fontId="0" fillId="0" borderId="3" pivotButton="0" quotePrefix="0" xfId="0"/>
    <xf numFmtId="0" fontId="32" fillId="3" borderId="2" applyAlignment="1" pivotButton="0" quotePrefix="0" xfId="0">
      <alignment horizontal="center" vertical="center"/>
    </xf>
    <xf numFmtId="0" fontId="30" fillId="3" borderId="2" applyAlignment="1" pivotButton="0" quotePrefix="0" xfId="0">
      <alignment horizontal="general" vertical="center" wrapText="1"/>
    </xf>
    <xf numFmtId="0" fontId="10" fillId="0" borderId="1" applyAlignment="1" pivotButton="0" quotePrefix="0" xfId="0">
      <alignment horizontal="general" vertical="center" wrapText="1"/>
    </xf>
    <xf numFmtId="0" fontId="33" fillId="0" borderId="1" applyAlignment="1" pivotButton="0" quotePrefix="0" xfId="0">
      <alignment horizontal="center" vertical="center"/>
    </xf>
    <xf numFmtId="0" fontId="30" fillId="0" borderId="1" applyAlignment="1" pivotButton="0" quotePrefix="0" xfId="0">
      <alignment horizontal="general" vertical="center" wrapText="1"/>
    </xf>
    <xf numFmtId="0" fontId="26"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general" vertical="center" wrapText="1"/>
    </xf>
    <xf numFmtId="164" fontId="0" fillId="0" borderId="1" applyAlignment="1" pivotButton="0" quotePrefix="0" xfId="0">
      <alignment horizontal="right" vertical="center"/>
    </xf>
    <xf numFmtId="164" fontId="10" fillId="0" borderId="1" applyAlignment="1" pivotButton="0" quotePrefix="0" xfId="0">
      <alignment horizontal="right" vertical="center"/>
    </xf>
    <xf numFmtId="0" fontId="0" fillId="0" borderId="1" applyAlignment="1" pivotButton="0" quotePrefix="0" xfId="0">
      <alignment horizontal="center" vertical="center" wrapText="1"/>
    </xf>
    <xf numFmtId="164" fontId="34" fillId="0" borderId="1" applyAlignment="1" pivotButton="0" quotePrefix="0" xfId="0">
      <alignment horizontal="right" vertical="center"/>
    </xf>
    <xf numFmtId="0" fontId="13" fillId="15" borderId="1" applyAlignment="1" pivotButton="0" quotePrefix="0" xfId="0">
      <alignment horizontal="center" vertical="center"/>
    </xf>
    <xf numFmtId="0" fontId="13" fillId="16" borderId="1" applyAlignment="1" pivotButton="0" quotePrefix="0" xfId="0">
      <alignment horizontal="center" vertical="center"/>
    </xf>
    <xf numFmtId="0" fontId="13" fillId="17" borderId="1" applyAlignment="1" pivotButton="0" quotePrefix="0" xfId="0">
      <alignment horizontal="center" vertical="center"/>
    </xf>
    <xf numFmtId="0" fontId="0" fillId="18" borderId="1" applyAlignment="1" pivotButton="0" quotePrefix="0" xfId="0">
      <alignment horizontal="center" vertical="bottom"/>
    </xf>
    <xf numFmtId="0" fontId="10" fillId="18" borderId="1" applyAlignment="1" pivotButton="0" quotePrefix="0" xfId="0">
      <alignment horizontal="general" vertical="bottom"/>
    </xf>
    <xf numFmtId="164" fontId="10" fillId="18" borderId="1" applyAlignment="1" pivotButton="0" quotePrefix="0" xfId="0">
      <alignment horizontal="right" vertical="bottom"/>
    </xf>
    <xf numFmtId="164" fontId="35" fillId="18" borderId="1" applyAlignment="1" pivotButton="0" quotePrefix="0" xfId="0">
      <alignment horizontal="right" vertical="bottom"/>
    </xf>
    <xf numFmtId="0" fontId="0" fillId="18" borderId="1" applyAlignment="1" pivotButton="0" quotePrefix="0" xfId="0">
      <alignment horizontal="general" vertical="bottom"/>
    </xf>
    <xf numFmtId="0" fontId="0" fillId="19" borderId="1" applyAlignment="1" pivotButton="0" quotePrefix="0" xfId="0">
      <alignment horizontal="general" vertical="bottom"/>
    </xf>
    <xf numFmtId="0" fontId="10" fillId="19" borderId="1" applyAlignment="1" pivotButton="0" quotePrefix="0" xfId="0">
      <alignment horizontal="general" vertical="bottom"/>
    </xf>
    <xf numFmtId="164" fontId="10" fillId="19" borderId="1" applyAlignment="1" pivotButton="0" quotePrefix="0" xfId="0">
      <alignment horizontal="right" vertical="bottom"/>
    </xf>
    <xf numFmtId="164" fontId="36" fillId="19" borderId="1" applyAlignment="1" pivotButton="0" quotePrefix="0" xfId="0">
      <alignment horizontal="right" vertical="bottom"/>
    </xf>
    <xf numFmtId="0" fontId="0" fillId="20" borderId="1" applyAlignment="1" pivotButton="0" quotePrefix="0" xfId="0">
      <alignment horizontal="general" vertical="bottom"/>
    </xf>
    <xf numFmtId="0" fontId="10" fillId="20" borderId="1" applyAlignment="1" pivotButton="0" quotePrefix="0" xfId="0">
      <alignment horizontal="general" vertical="bottom"/>
    </xf>
    <xf numFmtId="164" fontId="0" fillId="20" borderId="1" applyAlignment="1" pivotButton="0" quotePrefix="0" xfId="0">
      <alignment horizontal="right" vertical="bottom"/>
    </xf>
    <xf numFmtId="164" fontId="37" fillId="20" borderId="1" applyAlignment="1" pivotButton="0" quotePrefix="0" xfId="0">
      <alignment horizontal="right" vertical="bottom"/>
    </xf>
    <xf numFmtId="0" fontId="38" fillId="0" borderId="0" applyAlignment="1" pivotButton="0" quotePrefix="0" xfId="0">
      <alignment horizontal="general" vertical="top" wrapText="1"/>
    </xf>
    <xf numFmtId="0" fontId="0" fillId="3" borderId="2" applyAlignment="1" pivotButton="0" quotePrefix="0" xfId="0">
      <alignment horizontal="general" vertical="bottom"/>
    </xf>
    <xf numFmtId="0" fontId="39" fillId="3" borderId="2" applyAlignment="1" pivotButton="0" quotePrefix="0" xfId="0">
      <alignment horizontal="general" vertical="bottom"/>
    </xf>
    <xf numFmtId="164" fontId="39" fillId="3" borderId="2" applyAlignment="1" pivotButton="0" quotePrefix="0" xfId="0">
      <alignment horizontal="right" vertical="bottom"/>
    </xf>
    <xf numFmtId="164" fontId="32" fillId="3" borderId="2" applyAlignment="1" pivotButton="0" quotePrefix="0" xfId="0">
      <alignment horizontal="right" vertical="bottom"/>
    </xf>
    <xf numFmtId="0" fontId="0" fillId="0" borderId="3" applyAlignment="1" pivotButton="0" quotePrefix="0" xfId="0">
      <alignment horizontal="general" vertical="bottom"/>
    </xf>
    <xf numFmtId="0" fontId="40" fillId="0" borderId="1" applyAlignment="1" pivotButton="0" quotePrefix="0" xfId="0">
      <alignment horizontal="center" vertical="center" wrapText="1"/>
    </xf>
    <xf numFmtId="0" fontId="40" fillId="4" borderId="1" applyAlignment="1" pivotButton="0" quotePrefix="0" xfId="0">
      <alignment horizontal="center" vertical="center" wrapText="1"/>
    </xf>
    <xf numFmtId="0" fontId="40" fillId="21" borderId="1" applyAlignment="1" pivotButton="0" quotePrefix="0" xfId="0">
      <alignment horizontal="center" vertical="center" wrapText="1"/>
    </xf>
    <xf numFmtId="0" fontId="31" fillId="16" borderId="1" applyAlignment="1" pivotButton="0" quotePrefix="0" xfId="0">
      <alignment horizontal="center" vertical="center" wrapText="1"/>
    </xf>
    <xf numFmtId="0" fontId="13" fillId="8" borderId="1" applyAlignment="1" pivotButton="0" quotePrefix="0" xfId="0">
      <alignment horizontal="center" vertical="center" wrapText="1"/>
    </xf>
    <xf numFmtId="0" fontId="13" fillId="15" borderId="1" applyAlignment="1" pivotButton="0" quotePrefix="0" xfId="0">
      <alignment horizontal="center" vertical="center" wrapText="1"/>
    </xf>
    <xf numFmtId="0" fontId="31" fillId="0" borderId="1" applyAlignment="1" pivotButton="0" quotePrefix="0" xfId="0">
      <alignment horizontal="center" vertical="center" wrapText="1"/>
    </xf>
    <xf numFmtId="0" fontId="31" fillId="16" borderId="1" applyAlignment="1" pivotButton="0" quotePrefix="0" xfId="0">
      <alignment horizontal="center" vertical="center"/>
    </xf>
    <xf numFmtId="0" fontId="41" fillId="7" borderId="4" applyAlignment="1" pivotButton="0" quotePrefix="0" xfId="0">
      <alignment horizontal="center" vertical="center" wrapText="1"/>
    </xf>
    <xf numFmtId="0" fontId="7" fillId="0" borderId="4" applyAlignment="1" pivotButton="0" quotePrefix="0" xfId="0">
      <alignment horizontal="left" vertical="top" wrapText="1"/>
    </xf>
    <xf numFmtId="0" fontId="41" fillId="0" borderId="1" applyAlignment="1" pivotButton="0" quotePrefix="0" xfId="0">
      <alignment horizontal="center" vertical="bottom"/>
    </xf>
    <xf numFmtId="0" fontId="42" fillId="0" borderId="1" applyAlignment="1" pivotButton="0" quotePrefix="0" xfId="0">
      <alignment horizontal="center" vertical="top"/>
    </xf>
    <xf numFmtId="0" fontId="42" fillId="0" borderId="1" applyAlignment="1" pivotButton="0" quotePrefix="0" xfId="0">
      <alignment horizontal="general" vertical="top" wrapText="1"/>
    </xf>
    <xf numFmtId="0" fontId="7" fillId="0" borderId="1" applyAlignment="1" pivotButton="0" quotePrefix="0" xfId="0">
      <alignment horizontal="center" vertical="bottom"/>
    </xf>
    <xf numFmtId="0" fontId="7" fillId="0" borderId="1" applyAlignment="1" pivotButton="0" quotePrefix="0" xfId="0">
      <alignment horizontal="center" vertical="top"/>
    </xf>
    <xf numFmtId="0" fontId="7" fillId="0" borderId="1" applyAlignment="1" pivotButton="0" quotePrefix="0" xfId="0">
      <alignment horizontal="general" vertical="top" wrapText="1"/>
    </xf>
    <xf numFmtId="0" fontId="31" fillId="22" borderId="1" applyAlignment="1" pivotButton="0" quotePrefix="0" xfId="0">
      <alignment horizontal="center" vertical="center"/>
    </xf>
    <xf numFmtId="0" fontId="31" fillId="11" borderId="1" applyAlignment="1" pivotButton="0" quotePrefix="0" xfId="0">
      <alignment horizontal="center" vertical="center"/>
    </xf>
    <xf numFmtId="0" fontId="6" fillId="4" borderId="4" applyAlignment="1" pivotButton="0" quotePrefix="0" xfId="0">
      <alignment horizontal="center" vertical="center" wrapText="1"/>
    </xf>
    <xf numFmtId="0" fontId="6" fillId="3" borderId="4" applyAlignment="1" pivotButton="0" quotePrefix="0" xfId="0">
      <alignment horizontal="center" vertical="center" wrapText="1"/>
    </xf>
    <xf numFmtId="0" fontId="31" fillId="12" borderId="1" applyAlignment="1" pivotButton="0" quotePrefix="0" xfId="0">
      <alignment horizontal="center" vertical="center"/>
    </xf>
    <xf numFmtId="0" fontId="0" fillId="0" borderId="1" applyAlignment="1" pivotButton="0" quotePrefix="0" xfId="0">
      <alignment horizontal="center" vertical="top" wrapText="1"/>
    </xf>
    <xf numFmtId="0" fontId="43" fillId="0" borderId="0" applyAlignment="1" pivotButton="0" quotePrefix="0" xfId="0">
      <alignment horizontal="general" vertical="bottom"/>
    </xf>
    <xf numFmtId="0" fontId="12" fillId="0" borderId="0" applyAlignment="1" pivotButton="0" quotePrefix="0" xfId="0">
      <alignment horizontal="general" vertical="bottom" wrapText="1"/>
    </xf>
    <xf numFmtId="0" fontId="44" fillId="0" borderId="0" applyAlignment="1" pivotButton="0" quotePrefix="0" xfId="0">
      <alignment horizontal="general" vertical="bottom" wrapText="1"/>
    </xf>
    <xf numFmtId="0" fontId="24" fillId="10" borderId="0" applyAlignment="1" pivotButton="0" quotePrefix="0" xfId="0">
      <alignment horizontal="left" vertical="center"/>
    </xf>
    <xf numFmtId="0" fontId="27" fillId="22" borderId="1" applyAlignment="1" pivotButton="0" quotePrefix="0" xfId="0">
      <alignment horizontal="center" vertical="center"/>
    </xf>
    <xf numFmtId="0" fontId="27" fillId="23" borderId="1" applyAlignment="1" pivotButton="0" quotePrefix="0" xfId="0">
      <alignment horizontal="center" vertical="center"/>
    </xf>
    <xf numFmtId="0" fontId="27" fillId="24" borderId="1" applyAlignment="1" pivotButton="0" quotePrefix="0" xfId="0">
      <alignment horizontal="center" vertical="center"/>
    </xf>
    <xf numFmtId="0" fontId="45" fillId="0" borderId="0" applyAlignment="1" pivotButton="0" quotePrefix="0" xfId="0">
      <alignment horizontal="general" vertical="bottom"/>
    </xf>
    <xf numFmtId="0" fontId="28" fillId="23" borderId="1" applyAlignment="1" pivotButton="0" quotePrefix="0" xfId="0">
      <alignment horizontal="center" vertical="center"/>
    </xf>
    <xf numFmtId="0" fontId="46" fillId="0" borderId="0" applyAlignment="1" pivotButton="0" quotePrefix="0" xfId="0">
      <alignment horizontal="left" vertical="center"/>
    </xf>
    <xf numFmtId="0" fontId="47" fillId="0" borderId="0" applyAlignment="1" pivotButton="0" quotePrefix="0" xfId="0">
      <alignment horizontal="left" vertical="center" wrapText="1"/>
    </xf>
    <xf numFmtId="0" fontId="13" fillId="6" borderId="5" applyAlignment="1" pivotButton="0" quotePrefix="0" xfId="0">
      <alignment horizontal="center" vertical="center" wrapText="1"/>
    </xf>
    <xf numFmtId="0" fontId="48" fillId="0" borderId="5" applyAlignment="1" pivotButton="0" quotePrefix="0" xfId="0">
      <alignment horizontal="left" vertical="center" wrapText="1"/>
    </xf>
    <xf numFmtId="0" fontId="48" fillId="0" borderId="5" applyAlignment="1" pivotButton="0" quotePrefix="0" xfId="0">
      <alignment horizontal="center" vertical="center" wrapText="1"/>
    </xf>
    <xf numFmtId="2" fontId="48" fillId="0" borderId="5" applyAlignment="1" pivotButton="0" quotePrefix="0" xfId="0">
      <alignment horizontal="center" vertical="center" wrapText="1"/>
    </xf>
    <xf numFmtId="165" fontId="48" fillId="0" borderId="5" applyAlignment="1" pivotButton="0" quotePrefix="0" xfId="0">
      <alignment horizontal="center" vertical="center" wrapText="1"/>
    </xf>
    <xf numFmtId="0" fontId="0" fillId="0" borderId="15" pivotButton="0" quotePrefix="0" xfId="0"/>
    <xf numFmtId="2" fontId="48" fillId="0" borderId="5" applyAlignment="1" pivotButton="0" quotePrefix="0" xfId="0">
      <alignment horizontal="left" vertical="center" wrapText="1"/>
    </xf>
    <xf numFmtId="165" fontId="48" fillId="0" borderId="5" applyAlignment="1" pivotButton="0" quotePrefix="0" xfId="0">
      <alignment horizontal="left" vertical="center" wrapText="1"/>
    </xf>
    <xf numFmtId="0" fontId="49" fillId="0" borderId="5" applyAlignment="1" pivotButton="0" quotePrefix="0" xfId="0">
      <alignment horizontal="left" vertical="center" wrapText="1"/>
    </xf>
    <xf numFmtId="3" fontId="48" fillId="0" borderId="5" applyAlignment="1" pivotButton="0" quotePrefix="0" xfId="0">
      <alignment horizontal="left" vertical="center" wrapText="1"/>
    </xf>
    <xf numFmtId="0" fontId="48" fillId="0" borderId="0"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00000"/>
      <rgbColor rgb="FF00FF00"/>
      <rgbColor rgb="FF0000FF"/>
      <rgbColor rgb="FFC6E0B4"/>
      <rgbColor rgb="FFFF00FF"/>
      <rgbColor rgb="FF00FFFF"/>
      <rgbColor rgb="FF800000"/>
      <rgbColor rgb="FF008000"/>
      <rgbColor rgb="FF000080"/>
      <rgbColor rgb="FF548235"/>
      <rgbColor rgb="FF800080"/>
      <rgbColor rgb="FF008080"/>
      <rgbColor rgb="FFBFBFBF"/>
      <rgbColor rgb="FF808080"/>
      <rgbColor rgb="FF8EA9DB"/>
      <rgbColor rgb="FF595959"/>
      <rgbColor rgb="FFFFF2CC"/>
      <rgbColor rgb="FFDDEBF7"/>
      <rgbColor rgb="FF660066"/>
      <rgbColor rgb="FFD9D9D9"/>
      <rgbColor rgb="FF2E75B6"/>
      <rgbColor rgb="FFCCCCCC"/>
      <rgbColor rgb="FF000080"/>
      <rgbColor rgb="FFFF00FF"/>
      <rgbColor rgb="FFFFFF00"/>
      <rgbColor rgb="FF00FFFF"/>
      <rgbColor rgb="FF800080"/>
      <rgbColor rgb="FF800000"/>
      <rgbColor rgb="FF008080"/>
      <rgbColor rgb="FF0000FF"/>
      <rgbColor rgb="FF00CCFF"/>
      <rgbColor rgb="FFF2F2F2"/>
      <rgbColor rgb="FFE2EFDA"/>
      <rgbColor rgb="FFFFE699"/>
      <rgbColor rgb="FF9DC3E6"/>
      <rgbColor rgb="FFF4B084"/>
      <rgbColor rgb="FFB4B4B4"/>
      <rgbColor rgb="FFF8CBAD"/>
      <rgbColor rgb="FF4472C4"/>
      <rgbColor rgb="FF33CCCC"/>
      <rgbColor rgb="FFA9D08E"/>
      <rgbColor rgb="FFFFC000"/>
      <rgbColor rgb="FFBF9000"/>
      <rgbColor rgb="FFED7D31"/>
      <rgbColor rgb="FF666666"/>
      <rgbColor rgb="FF8497B0"/>
      <rgbColor rgb="FF1F4E78"/>
      <rgbColor rgb="FF339966"/>
      <rgbColor rgb="FF003300"/>
      <rgbColor rgb="FF333300"/>
      <rgbColor rgb="FF993300"/>
      <rgbColor rgb="FF993366"/>
      <rgbColor rgb="FF305496"/>
      <rgbColor rgb="FF1A1A1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F3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2" customWidth="1" style="133" min="1" max="1"/>
    <col width="28" customWidth="1" style="133" min="2" max="2"/>
    <col width="90" customWidth="1" style="133" min="3" max="3"/>
    <col width="8.710000000000001" customWidth="1" style="133" min="4" max="26"/>
  </cols>
  <sheetData>
    <row r="1"/>
    <row r="2" ht="26.25" customHeight="1" s="134">
      <c r="B2" s="135" t="inlineStr">
        <is>
          <t>Paid Media Audit</t>
        </is>
      </c>
    </row>
    <row r="3" ht="17.25" customHeight="1" s="134">
      <c r="B3" s="136" t="inlineStr">
        <is>
          <t>Master Findings (Working Draft)</t>
        </is>
      </c>
    </row>
    <row r="4"/>
    <row r="5" ht="15" customHeight="1" s="134">
      <c r="B5" s="137" t="inlineStr">
        <is>
          <t>Owner</t>
        </is>
      </c>
      <c r="C5" s="138" t="inlineStr">
        <is>
          <t>Adrian Fernández (Digital Growth Marketing Manager)</t>
        </is>
      </c>
    </row>
    <row r="6" ht="15" customHeight="1" s="134">
      <c r="B6" s="137" t="inlineStr">
        <is>
          <t>Reports to</t>
        </is>
      </c>
      <c r="C6" s="138" t="inlineStr">
        <is>
          <t>Zibi Piotrowski (Head of Digital and Performance Marketing)</t>
        </is>
      </c>
    </row>
    <row r="7" ht="15" customHeight="1" s="134">
      <c r="B7" s="137" t="inlineStr">
        <is>
          <t>Period covered</t>
        </is>
      </c>
      <c r="C7" s="138" t="inlineStr">
        <is>
          <t>Audit baseline: last 90 days. YoY comparisons: Jan-May 2026 vs Jan-May 2025</t>
        </is>
      </c>
    </row>
    <row r="8" ht="15" customHeight="1" s="134">
      <c r="B8" s="137" t="inlineStr">
        <is>
          <t>Last updated: 2026-06-02 (v17). Added a Locked Numbers tab as the single source of truth for every figure (the report, deck and The Plan reconcile to it). Added the two expansion data prerequisites as owned items, both Q3: product-usage sync to the CRM (owner: RevOps) and the customer-health score exposed to marketing (owner: Customer Success), on the Tracking and Attribution tab and the Action Plan. Refreshed this cover to surface the expansion KPIs and the Q3-Q4 expansion actions. No change to audit findings, locked numbers, or budget. Full version history in the Change Log.</t>
        </is>
      </c>
      <c r="C8" s="138" t="inlineStr">
        <is>
          <t>Last updated: 2026-06-02 (v18). Re-cut tracking ownership: the conversion outage is a site dataLayer break (ours + the website lead), not a RevOps fix; lead routing is live (RevOps); paid company-size floor aligned to under-20 employees, matching the inbound qualification gate.</t>
        </is>
      </c>
    </row>
    <row r="9" ht="23.25" customHeight="1" s="134">
      <c r="B9" s="137" t="inlineStr">
        <is>
          <t>Status</t>
        </is>
      </c>
      <c r="C9" s="138" t="inlineStr">
        <is>
          <t>COMPLETE — Google Ads + LinkedIn + Microsoft Ads audits all banked. HubSpot audit planned separately starting Wednesday.</t>
        </is>
      </c>
    </row>
    <row r="10"/>
    <row r="11" ht="15" customHeight="1" s="134">
      <c r="B11" s="139" t="inlineStr">
        <is>
          <t>Framing</t>
        </is>
      </c>
    </row>
    <row r="12" ht="30" customHeight="1" s="134">
      <c r="B12" s="140" t="inlineStr">
        <is>
          <t>Externally this audit is positioned as ongoing through next week. The aim of this document is internal tracking and to support the Friday share with Zibi. Avoid sharing as "final" externally.</t>
        </is>
      </c>
    </row>
    <row r="13"/>
    <row r="14" ht="15" customHeight="1" s="134">
      <c r="B14" s="139" t="inlineStr">
        <is>
          <t>Tabs in this workbook</t>
        </is>
      </c>
    </row>
    <row r="15" ht="15" customHeight="1" s="134">
      <c r="B15" s="137" t="inlineStr">
        <is>
          <t>Exec Summary</t>
        </is>
      </c>
      <c r="C15" s="138" t="inlineStr">
        <is>
          <t>Top stack-ranked findings across all channels</t>
        </is>
      </c>
    </row>
    <row r="16" ht="15" customHeight="1" s="134">
      <c r="B16" s="137" t="inlineStr">
        <is>
          <t>Product-Market Map</t>
        </is>
      </c>
      <c r="C16" s="138" t="inlineStr">
        <is>
          <t>Locked product readiness map per market (from May 22 strategy meeting with Zibi)</t>
        </is>
      </c>
    </row>
    <row r="17" ht="15" customHeight="1" s="134">
      <c r="B17" s="137" t="inlineStr">
        <is>
          <t>Google Ads</t>
        </is>
      </c>
      <c r="C17" s="138" t="inlineStr">
        <is>
          <t>Findings across UK / Spain / France, severity-ranked, with evidence and recommendations</t>
        </is>
      </c>
    </row>
    <row r="18" ht="15" customHeight="1" s="134">
      <c r="B18" s="137" t="inlineStr">
        <is>
          <t>LinkedIn Ads</t>
        </is>
      </c>
      <c r="C18" s="138" t="inlineStr">
        <is>
          <t>Complete audit across all 3 LinkedIn accounts (EN, ES, FR). Sessions S1-S4 banked.</t>
        </is>
      </c>
    </row>
    <row r="19" ht="15" customHeight="1" s="134">
      <c r="B19" s="137" t="inlineStr">
        <is>
          <t>Microsoft Ads</t>
        </is>
      </c>
      <c r="C19" s="138" t="inlineStr">
        <is>
          <t>Complete audit across both Microsoft Ads accounts (EN-BING + FR-BING). Sessions S1 + S2 banked.</t>
        </is>
      </c>
    </row>
    <row r="20" ht="15" customHeight="1" s="134">
      <c r="B20" s="137" t="inlineStr">
        <is>
          <t>Tracking &amp; Attribution</t>
        </is>
      </c>
      <c r="C20" s="138" t="inlineStr">
        <is>
          <t>conversion signal / site dataLayer, FR Lead MQL, UTM observations, HubSpot integration gaps</t>
        </is>
      </c>
    </row>
    <row r="21" ht="15.75" customHeight="1" s="134">
      <c r="B21" s="137" t="inlineStr">
        <is>
          <t>Action Plan</t>
        </is>
      </c>
      <c r="C21" s="138" t="inlineStr">
        <is>
          <t>Sequenced quick wins and strategic actions by urgency and effort, including the Q3-Q4 expansion (cross-sell + up-sell) build rows and the two expansion data prerequisites (owners RevOps and Customer Success, both Q3).</t>
        </is>
      </c>
    </row>
    <row r="22" ht="15.75" customHeight="1" s="134">
      <c r="B22" s="137" t="inlineStr">
        <is>
          <t>Open Questions</t>
        </is>
      </c>
      <c r="C22" s="138" t="inlineStr">
        <is>
          <t>Confirmations needed from Zibi, Andy (RevOps), GMMs, contractors</t>
        </is>
      </c>
    </row>
    <row r="23" ht="15.75" customHeight="1" s="134">
      <c r="B23" s="137" t="inlineStr">
        <is>
          <t>Change Log</t>
        </is>
      </c>
      <c r="C23" s="138" t="inlineStr">
        <is>
          <t>Update history with date, change type, summary</t>
        </is>
      </c>
    </row>
    <row r="24" ht="15.75" customHeight="1" s="134"/>
    <row r="25" ht="15.75" customHeight="1" s="134">
      <c r="B25" s="141" t="inlineStr">
        <is>
          <t>Strategic Foundation</t>
        </is>
      </c>
      <c r="C25" s="133" t="inlineStr">
        <is>
          <t>10 pillars the audit was conducted against. Use to test alignment of any new action.</t>
        </is>
      </c>
    </row>
    <row r="26" ht="15.75" customHeight="1" s="134">
      <c r="B26" s="141" t="inlineStr">
        <is>
          <t>CMO Briefing</t>
        </is>
      </c>
      <c r="C26" s="133" t="inlineStr">
        <is>
          <t>1-pager exec summary. Stand-alone document, 5-min read. Use for Friday Zibi share + Sebastian visibility.</t>
        </is>
      </c>
    </row>
    <row r="27" ht="15.75" customHeight="1" s="134">
      <c r="B27" s="141" t="inlineStr">
        <is>
          <t>Critical Path</t>
        </is>
      </c>
      <c r="C27" s="133" t="inlineStr">
        <is>
          <t>Dependency graph by stage. Shows what unblocks what. Single blocker = conversion-signal fix.</t>
        </is>
      </c>
    </row>
    <row r="28" ht="15.75" customHeight="1" s="134">
      <c r="B28" s="141" t="inlineStr">
        <is>
          <t>Risk Register</t>
        </is>
      </c>
      <c r="C28" s="133" t="inlineStr">
        <is>
          <t>15 identified risks with probability + impact + mitigation + contingency. Live document.</t>
        </is>
      </c>
    </row>
    <row r="29" ht="15.75" customHeight="1" s="134">
      <c r="B29" s="141" t="inlineStr">
        <is>
          <t>Reporting Cadence</t>
        </is>
      </c>
      <c r="C29" s="133" t="inlineStr">
        <is>
          <t>Daily / weekly / monthly / quarterly review structure. KPI catalog, including the Q3+ expansion (cross-sell + up-sell) KPIs.</t>
        </is>
      </c>
    </row>
    <row r="30" ht="15.75" customHeight="1" s="134">
      <c r="B30" s="141" t="inlineStr">
        <is>
          <t>Action-Ready</t>
        </is>
      </c>
      <c r="C30" s="133" t="inlineStr">
        <is>
          <t>55 discrete Chrome-executable actions. Now with Owner / Status / Depends-on / Success criteria.</t>
        </is>
      </c>
    </row>
    <row r="31" ht="15.75" customHeight="1" s="134">
      <c r="B31" s="141" t="inlineStr">
        <is>
          <t>QA Notes</t>
        </is>
      </c>
      <c r="C31" s="133" t="inlineStr">
        <is>
          <t>21 issues caught and fixed in v12 + v13 QA passes.</t>
        </is>
      </c>
    </row>
    <row r="32" ht="15.75" customHeight="1" s="134">
      <c r="B32" s="141" t="inlineStr">
        <is>
          <t>Locked Numbers</t>
        </is>
      </c>
      <c r="C32" s="133" t="inlineStr">
        <is>
          <t>Single source of truth for every figure in the doc set (pipeline, won deals, win rates, waste and recovery, funnel). The report, deck and The Plan reconcile to this tab.</t>
        </is>
      </c>
    </row>
    <row r="33" ht="15.75" customHeight="1" s="134">
      <c r="B33" s="139" t="n"/>
    </row>
    <row r="34" ht="15.75" customHeight="1" s="134">
      <c r="B34" s="139" t="inlineStr">
        <is>
          <t>Severity legend</t>
        </is>
      </c>
    </row>
    <row r="35" ht="15.75" customHeight="1" s="134">
      <c r="B35" s="142" t="inlineStr">
        <is>
          <t>CRITICAL</t>
        </is>
      </c>
      <c r="C35" s="133" t="inlineStr">
        <is>
          <t>Active revenue or pipeline at risk. Fix this week.</t>
        </is>
      </c>
    </row>
    <row r="36" ht="15.75" customHeight="1" s="134">
      <c r="B36" s="143" t="inlineStr">
        <is>
          <t>HIGH</t>
        </is>
      </c>
      <c r="C36" s="133" t="inlineStr">
        <is>
          <t>Significant waste or missed opportunity. Fix within 2 weeks.</t>
        </is>
      </c>
    </row>
    <row r="37" ht="15.75" customHeight="1" s="134">
      <c r="B37" s="144" t="inlineStr">
        <is>
          <t>MEDIUM</t>
        </is>
      </c>
      <c r="C37" s="133" t="inlineStr">
        <is>
          <t>Optimisation. Schedule in next sprint.</t>
        </is>
      </c>
    </row>
    <row r="38" ht="15.75" customHeight="1" s="134">
      <c r="B38" s="145" t="inlineStr">
        <is>
          <t>LOW</t>
        </is>
      </c>
      <c r="C38" s="133" t="inlineStr">
        <is>
          <t>Hygiene or backlog. No urgency.</t>
        </is>
      </c>
    </row>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row r="1001" ht="15.75" customHeight="1" s="134"/>
  </sheetData>
  <mergeCells count="1">
    <mergeCell ref="B12:F12"/>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4" customWidth="1" style="133" min="1" max="1"/>
    <col width="28" customWidth="1" style="133" min="2" max="2"/>
    <col width="45" customWidth="1" style="133" min="3" max="3"/>
    <col width="35" customWidth="1" style="133" min="4" max="4"/>
    <col width="22" customWidth="1" style="133" min="5" max="5"/>
    <col width="30" customWidth="1" style="133" min="6" max="6"/>
    <col width="8.710000000000001" customWidth="1" style="133" min="7" max="26"/>
  </cols>
  <sheetData>
    <row r="1" ht="18" customHeight="1" s="134">
      <c r="A1" s="146" t="inlineStr">
        <is>
          <t>STRATEGIC FOUNDATION — the 10 pillars this audit was conducted against</t>
        </is>
      </c>
    </row>
    <row r="2" ht="30" customHeight="1" s="134">
      <c r="A2" s="147" t="inlineStr">
        <is>
          <t>Every finding in every other tab maps to one or more of these pillars. Use this tab to test alignment: if an action does not advance a pillar, drop it.</t>
        </is>
      </c>
    </row>
    <row r="3"/>
    <row r="4" ht="34.5" customHeight="1" s="134">
      <c r="A4" s="148" t="inlineStr">
        <is>
          <t>#</t>
        </is>
      </c>
      <c r="B4" s="148" t="inlineStr">
        <is>
          <t>Pillar</t>
        </is>
      </c>
      <c r="C4" s="148" t="inlineStr">
        <is>
          <t>What it means in practice</t>
        </is>
      </c>
      <c r="D4" s="148" t="inlineStr">
        <is>
          <t>How we measure it working</t>
        </is>
      </c>
      <c r="E4" s="148" t="inlineStr">
        <is>
          <t>Tabs that contribute</t>
        </is>
      </c>
      <c r="F4" s="148" t="inlineStr">
        <is>
          <t>Current state</t>
        </is>
      </c>
    </row>
    <row r="5" ht="105" customHeight="1" s="134">
      <c r="A5" s="149" t="inlineStr">
        <is>
          <t>1</t>
        </is>
      </c>
      <c r="B5" s="150" t="inlineStr">
        <is>
          <t>Product-Market Map adherence</t>
        </is>
      </c>
      <c r="C5" s="151" t="inlineStr">
        <is>
          <t>Only run paid in markets where the product is market-ready. UK = Flow flagship. Iberia = Workforce flagship. France = Easilys flagship. Nordics = piggyback UK Flow only.</t>
        </is>
      </c>
      <c r="D5" s="151" t="inlineStr">
        <is>
          <t>Zero paid spend on out-of-map products. ES Workforce on Google ON, FR Workforce on Microsoft OFF, UK Workforce on Google = near zero.</t>
        </is>
      </c>
      <c r="E5" s="151" t="inlineStr">
        <is>
          <t>Product-Market Map / Budget Impact / All platform tabs</t>
        </is>
      </c>
      <c r="F5" s="151" t="inlineStr">
        <is>
          <t>Partial. Mapped, but FR Microsoft still has Workforce live (action pending). UK Workforce verification still due.</t>
        </is>
      </c>
    </row>
    <row r="6" ht="105" customHeight="1" s="134">
      <c r="A6" s="149" t="inlineStr">
        <is>
          <t>2</t>
        </is>
      </c>
      <c r="B6" s="150" t="inlineStr">
        <is>
          <t>Tracking-first</t>
        </is>
      </c>
      <c r="C6" s="151" t="inlineStr">
        <is>
          <t>conversion signal / site dataLayer + Lead MQL/SQL custom events MUST be functional and signal-correct before sophisticated bidding is restored. UET on Microsoft + LinkedIn Insight Tag are healthy. The break is at the event-trigger layer at HubSpot / website.</t>
        </is>
      </c>
      <c r="D6" s="151" t="inlineStr">
        <is>
          <t>Lead MQL fires on every confirmed lead, Lead SQL fires on every sales acceptance, both visible in Google / LinkedIn / Microsoft conversion dashboards within 7 days.</t>
        </is>
      </c>
      <c r="E6" s="151" t="inlineStr">
        <is>
          <t>Tracking &amp; Attribution / Google Ads / LinkedIn Ads / Microsoft Ads</t>
        </is>
      </c>
      <c r="F6" s="151" t="inlineStr">
        <is>
          <t>BLOCKED. Andy/RevOps owns. ETA unconfirmed. Gates 8 downstream BLOCKED actions and the mid-June nurture launch.</t>
        </is>
      </c>
    </row>
    <row r="7" ht="105" customHeight="1" s="134">
      <c r="A7" s="149" t="inlineStr">
        <is>
          <t>3</t>
        </is>
      </c>
      <c r="B7" s="150" t="inlineStr">
        <is>
          <t>Broader-audience Lead Gen Forms replace narrow ABM</t>
        </is>
      </c>
      <c r="C7" s="151" t="inlineStr">
        <is>
          <t>FR Fab Lead Form (22K audience, 3 leads, €148 CPL) controlled experiment proves broad-audience LGF beats narrow Top-100. Replicate as the standard LinkedIn paid play for UK Flow + ES Workforce post-mid-June.</t>
        </is>
      </c>
      <c r="D7" s="151" t="inlineStr">
        <is>
          <t>At least 1 active Lead Gen Form per priority market by end Q3. CPL &lt;€200 on each. Sustained MQL pipeline volume per market.</t>
        </is>
      </c>
      <c r="E7" s="151" t="inlineStr">
        <is>
          <t>ABM Triage / LinkedIn Ads / Action-Ready / Budget Impact</t>
        </is>
      </c>
      <c r="F7" s="151" t="inlineStr">
        <is>
          <t>In motion. FR Easilys video campaign rescoped + consolidated. UK A/B video test rescued. Replication briefs for EN + ES still to write.</t>
        </is>
      </c>
    </row>
    <row r="8" ht="105" customHeight="1" s="134">
      <c r="A8" s="149" t="inlineStr">
        <is>
          <t>4</t>
        </is>
      </c>
      <c r="B8" s="150" t="inlineStr">
        <is>
          <t>Brand defence reactivation</t>
        </is>
      </c>
      <c r="C8" s="151" t="inlineStr">
        <is>
          <t>UK Mapal brand defence has been paused 5+ months on BOTH Google AND Microsoft. Competitors (Lightspeed, Cloudbeds, EposNow, Access Group, Skello, Sage) bidding unopposed. Brand integrity at risk, not just paid CPA.</t>
        </is>
      </c>
      <c r="D8" s="151" t="inlineStr">
        <is>
          <t>CORE Mapal-EN active on Google UK AND Microsoft UK within 2 weeks. Impression share on Mapal brand terms ≥90% per market. Competitor share-of-voice on Mapal brand drops to &lt;5%.</t>
        </is>
      </c>
      <c r="E8" s="151" t="inlineStr">
        <is>
          <t>Exec Summary / Google Ads / Microsoft Ads / Budget Impact (new spend)</t>
        </is>
      </c>
      <c r="F8" s="151" t="inlineStr">
        <is>
          <t>Ready. Unpause action queued for this week. Pre-unpause review still pending.</t>
        </is>
      </c>
    </row>
    <row r="9" ht="105" customHeight="1" s="134">
      <c r="A9" s="149" t="inlineStr">
        <is>
          <t>5</t>
        </is>
      </c>
      <c r="B9" s="150" t="inlineStr">
        <is>
          <t>Contractor governance closure</t>
        </is>
      </c>
      <c r="C9" s="151" t="inlineStr">
        <is>
          <t>4 personal-Gmail contractors had/have editing rights: Lukas (luksius11@gmail.com), Javier (marketing@jjromero.com), Fabrice (fabrice@thelead.fr), TCE-ClickBoost (tceclickboost@gmail.com). Plus Lukas retains Primary Super Admin on both Microsoft Ads accounts. SOC2-grade governance risk.</t>
        </is>
      </c>
      <c r="D9" s="151" t="inlineStr">
        <is>
          <t>All 4 contractor identities revoked or work-email-reissued. "Require sign-in with work account" ON on Microsoft. Quarterly access review cadence in place.</t>
        </is>
      </c>
      <c r="E9" s="151" t="inlineStr">
        <is>
          <t>Action-Ready Section 1 / Microsoft Ads / Google Ads / Risk Register</t>
        </is>
      </c>
      <c r="F9" s="151" t="inlineStr">
        <is>
          <t>Escalated to Zibi. Awaiting his action this week.</t>
        </is>
      </c>
    </row>
    <row r="10" ht="105" customHeight="1" s="134">
      <c r="A10" s="149" t="inlineStr">
        <is>
          <t>6</t>
        </is>
      </c>
      <c r="B10" s="150" t="inlineStr">
        <is>
          <t>Bid strategy maturation</t>
        </is>
      </c>
      <c r="C10" s="151" t="inlineStr">
        <is>
          <t>Move from Maximize Clicks (volume-not-value, current ES + UK + FR Microsoft pattern) → Maximize Conversions (signal-needed) → Target CPA (when conversion data reliable). Each step gated on conversion-signal reliability.</t>
        </is>
      </c>
      <c r="D10" s="151" t="inlineStr">
        <is>
          <t>ES top-10 campaigns off Max Clicks within 30 days of tracking fix. FR top-10 Easilys campaigns on tCPA €140-200 within 30 days of conversion goal cleanup. UK Max Clicks campaigns evaluated within 30 days of tracking confidence.</t>
        </is>
      </c>
      <c r="E10" s="151" t="inlineStr">
        <is>
          <t>Google Ads / Microsoft Ads / Action-Ready BLOCKED</t>
        </is>
      </c>
      <c r="F10" s="151" t="inlineStr">
        <is>
          <t>BLOCKED on tracking fix. Playbook for the transition still to be written.</t>
        </is>
      </c>
    </row>
    <row r="11" ht="105" customHeight="1" s="134">
      <c r="A11" s="149" t="inlineStr">
        <is>
          <t>7</t>
        </is>
      </c>
      <c r="B11" s="150" t="inlineStr">
        <is>
          <t>Hygiene foundation before scale</t>
        </is>
      </c>
      <c r="C11" s="151" t="inlineStr">
        <is>
          <t>Negative keyword lists, placement exclusion lists, conversion goal cleanup, audience cleanup BEFORE budgets are scaled. UK has 0 Google + 0 Microsoft neg KW lists. FR has 18 Removed conversions still flagged Primary.</t>
        </is>
      </c>
      <c r="D11" s="151" t="inlineStr">
        <is>
          <t>Each market account has: 1+ shared neg KW list per product, placement exclusion lists attached to all eligible Display/PMax, conversion goals containing only Active+verified events.</t>
        </is>
      </c>
      <c r="E11" s="151" t="inlineStr">
        <is>
          <t>Google Ads / Microsoft Ads / LinkedIn Ads / Action-Ready</t>
        </is>
      </c>
      <c r="F11" s="151" t="inlineStr">
        <is>
          <t>In motion. Multiple Ready actions sequenced this week and next.</t>
        </is>
      </c>
    </row>
    <row r="12" ht="105" customHeight="1" s="134">
      <c r="A12" s="149" t="inlineStr">
        <is>
          <t>8</t>
        </is>
      </c>
      <c r="B12" s="150" t="inlineStr">
        <is>
          <t>Mid-June owner-role activation</t>
        </is>
      </c>
      <c r="C12" s="151" t="inlineStr">
        <is>
          <t>Adrian formally becomes owner of paid media + nurture strategy on 15 June 2026 per Zibi. Nurture launch requires tracking fix + HubSpot foundation + Lead Gen Form proof points.</t>
        </is>
      </c>
      <c r="D12" s="151" t="inlineStr">
        <is>
          <t>Adrian leading weekly paid + nurture review by 15 June. First nurture sequence live by end June. Lead Gen Form pipeline visible by end June per market.</t>
        </is>
      </c>
      <c r="E12" s="151" t="inlineStr">
        <is>
          <t>Action Plan / Open Questions / Reporting Cadence</t>
        </is>
      </c>
      <c r="F12" s="151" t="inlineStr">
        <is>
          <t>Date set. Readiness checklist still to be built.</t>
        </is>
      </c>
    </row>
    <row r="13" ht="105" customHeight="1" s="134">
      <c r="A13" s="149" t="inlineStr">
        <is>
          <t>9</t>
        </is>
      </c>
      <c r="B13" s="150" t="inlineStr">
        <is>
          <t>HubSpot foundation audit (parallel)</t>
        </is>
      </c>
      <c r="C13" s="151" t="inlineStr">
        <is>
          <t>HubSpot CRM + Marketing Hub audit runs parallel to paid media execution. Custom events for Lead MQL/SQL, lifecycle workflows, ad-platform integrations, attribution model — all need understanding before nurture launches.</t>
        </is>
      </c>
      <c r="D13" s="151" t="inlineStr">
        <is>
          <t>HubSpot audit 8 categories banked by end June. Custom events firing reliably. Ad-platform integration health verified. Attribution model documented.</t>
        </is>
      </c>
      <c r="E13" s="151" t="inlineStr">
        <is>
          <t>Separate HubSpot Master Audit workbook</t>
        </is>
      </c>
      <c r="F13" s="151" t="inlineStr">
        <is>
          <t>Started planning. Wed walkthrough with Zibi on Campaigns. Full audit begins Wed.</t>
        </is>
      </c>
    </row>
    <row r="14" ht="105" customHeight="1" s="134">
      <c r="A14" s="149" t="inlineStr">
        <is>
          <t>10</t>
        </is>
      </c>
      <c r="B14" s="150" t="inlineStr">
        <is>
          <t>Senior visibility + ongoing reporting</t>
        </is>
      </c>
      <c r="C14" s="151" t="inlineStr">
        <is>
          <t>Friday Zibi share = audit deliverable. Going forward = weekly Adrian-Zibi check-in, monthly Sebastian visibility, quarterly board-level review. No more "audit and report" cycles, just embedded reporting cadence.</t>
        </is>
      </c>
      <c r="D14" s="151" t="inlineStr">
        <is>
          <t>Weekly 30-min Adrian-Zibi check by 31 May. Monthly 1-pager to Sebastian by mid-June. Quarterly metrics framework agreed by end Q2.</t>
        </is>
      </c>
      <c r="E14" s="151" t="inlineStr">
        <is>
          <t>Reporting Cadence (new) / Friday Zibi share</t>
        </is>
      </c>
      <c r="F14" s="151" t="inlineStr">
        <is>
          <t>Friday share = first formal deliverable. Cadence to be set after that.</t>
        </is>
      </c>
    </row>
    <row r="15"/>
    <row r="16" ht="15" customHeight="1" s="134">
      <c r="A16" s="152" t="inlineStr">
        <is>
          <t>THE STRATEGIC NARRATIVE — say this if asked to explain the strategy in one paragraph</t>
        </is>
      </c>
    </row>
    <row r="17" ht="120" customHeight="1" s="134">
      <c r="A17" s="153" t="inlineStr">
        <is>
          <t>The paid media operation we inherited was running ahead of its data foundation. Multiple contractors editing across personal Gmail accounts, volume-optimised bidding on broken conversion signal, narrow ABM audiences below LinkedIn delivery thresholds, brand defence paused on the home market for five months, and €19K+ in identifiable annual waste across the surface area. The new strategy reverses the sequence: tracking before sophistication, hygiene before scale, product-market discipline over channel expansion. We close governance, restore conversion signal, defend the brand, replicate the Lead Gen Form playbook to the markets where products are ready, and build nurture from a tracked foundation post-mid-June. The €35-55K conservative net savings are real but secondary — the primary outcome is a paid + nurture engine that can be measured, optimised, and scaled with confidence by Adrian as owner from 15 June onward.</t>
        </is>
      </c>
    </row>
    <row r="21" ht="15.75" customHeight="1" s="134"/>
    <row r="22" ht="15.75" customHeight="1" s="134"/>
    <row r="23" ht="15.75" customHeight="1" s="134"/>
    <row r="24" ht="15.75" customHeight="1" s="134"/>
    <row r="25" ht="15.75" customHeight="1" s="134"/>
    <row r="26" ht="15.75" customHeight="1" s="134"/>
    <row r="27" ht="15.75" customHeight="1" s="134"/>
    <row r="28" ht="15.75" customHeight="1" s="134"/>
    <row r="29" ht="15.75" customHeight="1" s="134"/>
    <row r="30" ht="15.75" customHeight="1" s="134"/>
    <row r="31" ht="15.75" customHeight="1" s="134"/>
    <row r="32" ht="15.75" customHeight="1" s="134"/>
    <row r="33" ht="15.75" customHeight="1" s="134"/>
    <row r="34" ht="15.75" customHeight="1" s="134"/>
    <row r="35" ht="15.75" customHeight="1" s="134"/>
    <row r="36" ht="15.75" customHeight="1" s="134"/>
    <row r="37" ht="15.75" customHeight="1" s="134"/>
    <row r="38" ht="15.75" customHeight="1" s="134"/>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mergeCells count="4">
    <mergeCell ref="A2:F2"/>
    <mergeCell ref="A16:F16"/>
    <mergeCell ref="A1:F1"/>
    <mergeCell ref="A17:F17"/>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22" customWidth="1" style="133" min="1" max="1"/>
    <col width="35" customWidth="1" style="133" min="2" max="3"/>
    <col width="22" customWidth="1" style="133" min="4" max="6"/>
    <col width="8.710000000000001" customWidth="1" style="133" min="7" max="26"/>
  </cols>
  <sheetData>
    <row r="1" ht="30" customHeight="1" s="134">
      <c r="A1" s="154" t="inlineStr">
        <is>
          <t>CMO BRIEFING — paid media audit, executive view</t>
        </is>
      </c>
    </row>
    <row r="2" ht="15" customHeight="1" s="134">
      <c r="A2" s="155" t="inlineStr">
        <is>
          <t>Read time: 5 minutes. Audience: Zibi, Sebastian, CMO equivalents. Stand-alone document — does not require the rest of the workbook.</t>
        </is>
      </c>
    </row>
    <row r="3"/>
    <row r="4" ht="21.75" customHeight="1" s="134">
      <c r="A4" s="156" t="inlineStr">
        <is>
          <t>HEADLINE — 5 lines</t>
        </is>
      </c>
    </row>
    <row r="5" ht="49.5" customHeight="1" s="134">
      <c r="A5" s="157" t="inlineStr">
        <is>
          <t>1.</t>
        </is>
      </c>
      <c r="B5" s="151" t="inlineStr">
        <is>
          <t>Inherited a paid media operation running ahead of its data foundation. Four personal-Gmail contractors editing across UK + ES + FR + LATAM. Volume-optimised bidding on broken conversion signal. UK brand defence paused 5+ months on both Google AND Microsoft. €19K+ identifiable annual waste.</t>
        </is>
      </c>
      <c r="C5" s="158" t="n"/>
      <c r="D5" s="158" t="n"/>
      <c r="E5" s="158" t="n"/>
      <c r="F5" s="159" t="n"/>
    </row>
    <row r="6" ht="49.5" customHeight="1" s="134">
      <c r="A6" s="157" t="inlineStr">
        <is>
          <t>2.</t>
        </is>
      </c>
      <c r="B6" s="151" t="inlineStr">
        <is>
          <t>Strategy reverses the sequence: tracking before sophistication, hygiene before scale, product-market discipline over channel expansion.</t>
        </is>
      </c>
      <c r="C6" s="158" t="n"/>
      <c r="D6" s="158" t="n"/>
      <c r="E6" s="158" t="n"/>
      <c r="F6" s="159" t="n"/>
    </row>
    <row r="7" ht="49.5" customHeight="1" s="134">
      <c r="A7" s="157" t="inlineStr">
        <is>
          <t>3.</t>
        </is>
      </c>
      <c r="B7" s="151" t="inlineStr">
        <is>
          <t>€35-55K conservative net savings projection / 12 months. €67K identifiable line-item waste. Internal vs external math reconciled in Budget Impact tab.</t>
        </is>
      </c>
      <c r="C7" s="158" t="n"/>
      <c r="D7" s="158" t="n"/>
      <c r="E7" s="158" t="n"/>
      <c r="F7" s="159" t="n"/>
    </row>
    <row r="8" ht="49.5" customHeight="1" s="134">
      <c r="A8" s="157" t="inlineStr">
        <is>
          <t>4.</t>
        </is>
      </c>
      <c r="B8" s="151" t="inlineStr">
        <is>
          <t>Single critical-path blocker: the conversion signal, a site dataLayer break from the website migration, ours and the website lead's to fix, not RevOps. Until fixed, 8 downstream items wait.</t>
        </is>
      </c>
      <c r="C8" s="158" t="n"/>
      <c r="D8" s="158" t="n"/>
      <c r="E8" s="158" t="n"/>
      <c r="F8" s="159" t="n"/>
    </row>
    <row r="9" ht="49.5" customHeight="1" s="134">
      <c r="A9" s="157" t="inlineStr">
        <is>
          <t>5.</t>
        </is>
      </c>
      <c r="B9" s="151" t="inlineStr">
        <is>
          <t>Adrian becomes owner of paid + nurture 15 June. By then: tracking restored, governance closed, UK brand defence active, Lead Gen Form playbook replicated from FR proof point.</t>
        </is>
      </c>
      <c r="C9" s="158" t="n"/>
      <c r="D9" s="158" t="n"/>
      <c r="E9" s="158" t="n"/>
      <c r="F9" s="159" t="n"/>
    </row>
    <row r="10"/>
    <row r="11" ht="21.75" customHeight="1" s="134">
      <c r="A11" s="156" t="inlineStr">
        <is>
          <t>FINANCIAL PICTURE</t>
        </is>
      </c>
    </row>
    <row r="12" ht="15" customHeight="1" s="134">
      <c r="A12" s="160" t="inlineStr">
        <is>
          <t>Metric</t>
        </is>
      </c>
      <c r="B12" s="160" t="inlineStr">
        <is>
          <t>Figure</t>
        </is>
      </c>
      <c r="C12" s="160" t="inlineStr">
        <is>
          <t>Notes</t>
        </is>
      </c>
      <c r="D12" s="158" t="n"/>
      <c r="E12" s="158" t="n"/>
      <c r="F12" s="159" t="n"/>
    </row>
    <row r="13" ht="39.75" customHeight="1" s="134">
      <c r="A13" s="161" t="inlineStr">
        <is>
          <t>Estimated total paid spend baseline 2026</t>
        </is>
      </c>
      <c r="B13" s="162" t="inlineStr">
        <is>
          <t>€350-450K / year (rough)</t>
        </is>
      </c>
      <c r="C13" s="151" t="inlineStr">
        <is>
          <t>Not consolidated source-of-truth. ~€77K LinkedIn + ~€26K Microsoft known. Google figures verified per market in platform tabs.</t>
        </is>
      </c>
      <c r="D13" s="158" t="n"/>
      <c r="E13" s="158" t="n"/>
      <c r="F13" s="159" t="n"/>
    </row>
    <row r="14" ht="39.75" customHeight="1" s="134">
      <c r="A14" s="161" t="inlineStr">
        <is>
          <t>Identifiable line-item waste, 90d annualised</t>
        </is>
      </c>
      <c r="B14" s="162" t="inlineStr">
        <is>
          <t>€105,680 / year</t>
        </is>
      </c>
      <c r="C14" s="151" t="inlineStr">
        <is>
          <t>Sum of all HIGH + MEDIUM + LOW waste line items pre-haircut. From Budget Impact tab subtotals.</t>
        </is>
      </c>
      <c r="D14" s="158" t="n"/>
      <c r="E14" s="158" t="n"/>
      <c r="F14" s="159" t="n"/>
    </row>
    <row r="15" ht="39.75" customHeight="1" s="134">
      <c r="A15" s="161" t="inlineStr">
        <is>
          <t>Realistic 12-month recovery (line-item, post-haircut)</t>
        </is>
      </c>
      <c r="B15" s="162" t="inlineStr">
        <is>
          <t>€67,410 / year</t>
        </is>
      </c>
      <c r="C15" s="151" t="inlineStr">
        <is>
          <t>HIGH × 0.85 + MEDIUM × 0.55 + LOW × 0.30 confidence haircut applied. Internal audit math.</t>
        </is>
      </c>
      <c r="D15" s="158" t="n"/>
      <c r="E15" s="158" t="n"/>
      <c r="F15" s="159" t="n"/>
    </row>
    <row r="16" ht="39.75" customHeight="1" s="134">
      <c r="A16" s="161" t="inlineStr">
        <is>
          <t>Commit-publicly net savings range</t>
        </is>
      </c>
      <c r="B16" s="162" t="inlineStr">
        <is>
          <t>€35,000 — €55,000 / year</t>
        </is>
      </c>
      <c r="C16" s="151" t="inlineStr">
        <is>
          <t>Further conservatism for execution risk + CPC inflation + Lead Gen Form replication uncertainty. The number to use externally.</t>
        </is>
      </c>
      <c r="D16" s="158" t="n"/>
      <c r="E16" s="158" t="n"/>
      <c r="F16" s="159" t="n"/>
    </row>
    <row r="17" ht="39.75" customHeight="1" s="134">
      <c r="A17" s="161" t="inlineStr">
        <is>
          <t>Conservative floor (HIGH-confidence only)</t>
        </is>
      </c>
      <c r="B17" s="162" t="inlineStr">
        <is>
          <t>€22,000 — €30,000 / year</t>
        </is>
      </c>
      <c r="C17" s="151" t="inlineStr">
        <is>
          <t>Worst case. Use only if challenged for the floor.</t>
        </is>
      </c>
      <c r="D17" s="158" t="n"/>
      <c r="E17" s="158" t="n"/>
      <c r="F17" s="159" t="n"/>
    </row>
    <row r="18" ht="39.75" customHeight="1" s="134">
      <c r="A18" s="161" t="inlineStr">
        <is>
          <t>Stretch (tracking fix landed + LGF replication works)</t>
        </is>
      </c>
      <c r="B18" s="162" t="inlineStr">
        <is>
          <t>€70,000 — €100,000 / year</t>
        </is>
      </c>
      <c r="C18" s="151" t="inlineStr">
        <is>
          <t>Q4 outcome. Multiple dependencies. Mention only when asked for stretch.</t>
        </is>
      </c>
      <c r="D18" s="158" t="n"/>
      <c r="E18" s="158" t="n"/>
      <c r="F18" s="159" t="n"/>
    </row>
    <row r="19" ht="39.75" customHeight="1" s="134">
      <c r="A19" s="161" t="inlineStr">
        <is>
          <t>Already-booked savings (LinkedIn ABM kill)</t>
        </is>
      </c>
      <c r="B19" s="162" t="inlineStr">
        <is>
          <t>€8,993 / year forward run-rate</t>
        </is>
      </c>
      <c r="C19" s="151" t="inlineStr">
        <is>
          <t>Killed by Zibi 25-May. Reflected separately from forward-recovery total.</t>
        </is>
      </c>
      <c r="D19" s="158" t="n"/>
      <c r="E19" s="158" t="n"/>
      <c r="F19" s="159" t="n"/>
    </row>
    <row r="20" ht="39.75" customHeight="1" s="134">
      <c r="A20" s="161" t="inlineStr">
        <is>
          <t>Reallocation budget (UK brand defence + LGF + FR LP)</t>
        </is>
      </c>
      <c r="B20" s="162" t="inlineStr">
        <is>
          <t>€15,000 — €25,000 / year</t>
        </is>
      </c>
      <c r="C20" s="151" t="inlineStr">
        <is>
          <t>Net new spend. Smaller than total savings. Net position still positive.</t>
        </is>
      </c>
      <c r="D20" s="158" t="n"/>
      <c r="E20" s="158" t="n"/>
      <c r="F20" s="159" t="n"/>
    </row>
    <row r="21" ht="39.75" customHeight="1" s="134">
      <c r="A21" s="161" t="inlineStr">
        <is>
          <t>Implied % of marketing paid budget</t>
        </is>
      </c>
      <c r="B21" s="162" t="inlineStr">
        <is>
          <t>8 — 16% efficiency improvement</t>
        </is>
      </c>
      <c r="C21" s="151" t="inlineStr">
        <is>
          <t>On the rough €350-450K denominator.</t>
        </is>
      </c>
      <c r="D21" s="158" t="n"/>
      <c r="E21" s="158" t="n"/>
      <c r="F21" s="159" t="n"/>
    </row>
    <row r="22" ht="15.75" customHeight="1" s="134"/>
    <row r="23" ht="21.75" customHeight="1" s="134">
      <c r="A23" s="156" t="inlineStr">
        <is>
          <t>STRATEGIC OUTCOMES BEYOND COST SAVINGS</t>
        </is>
      </c>
    </row>
    <row r="24" ht="15.75" customHeight="1" s="134">
      <c r="A24" s="160" t="inlineStr">
        <is>
          <t>Outcome category</t>
        </is>
      </c>
      <c r="B24" s="160" t="inlineStr">
        <is>
          <t>Specific outcome</t>
        </is>
      </c>
      <c r="C24" s="160" t="inlineStr">
        <is>
          <t>Why it matters</t>
        </is>
      </c>
      <c r="D24" s="158" t="n"/>
      <c r="E24" s="158" t="n"/>
      <c r="F24" s="159" t="n"/>
    </row>
    <row r="25" ht="49.5" customHeight="1" s="134">
      <c r="A25" s="163" t="inlineStr">
        <is>
          <t>Brand integrity</t>
        </is>
      </c>
      <c r="B25" s="151" t="inlineStr">
        <is>
          <t>UK brand defence reactivation</t>
        </is>
      </c>
      <c r="C25" s="151" t="inlineStr">
        <is>
          <t>Captures branded search demand currently going to competitors (Lightspeed, Cloudbeds, EposNow, Access Group). Lifetime €13.64 CPA on this campaign type. 162 historical conversions baseline. Brand confusion risk reduced.</t>
        </is>
      </c>
      <c r="D25" s="158" t="n"/>
      <c r="E25" s="158" t="n"/>
      <c r="F25" s="159" t="n"/>
    </row>
    <row r="26" ht="49.5" customHeight="1" s="134">
      <c r="A26" s="163" t="inlineStr">
        <is>
          <t>Pipeline quality</t>
        </is>
      </c>
      <c r="B26" s="151" t="inlineStr">
        <is>
          <t>Lead Gen Form playbook</t>
        </is>
      </c>
      <c r="C26" s="151" t="inlineStr">
        <is>
          <t>FR proven: 3 leads / €148 CPL / 30d on broad audience vs 0 leads on narrow Top-100. Replication to UK Flow + ES Workforce projects 20-40 leads/yr per market at CPL &lt;€200.</t>
        </is>
      </c>
      <c r="D26" s="158" t="n"/>
      <c r="E26" s="158" t="n"/>
      <c r="F26" s="159" t="n"/>
    </row>
    <row r="27" ht="49.5" customHeight="1" s="134">
      <c r="A27" s="163" t="inlineStr">
        <is>
          <t>Attribution clarity</t>
        </is>
      </c>
      <c r="B27" s="151" t="inlineStr">
        <is>
          <t>Cross-channel conversion tracking restored</t>
        </is>
      </c>
      <c r="C27" s="151" t="inlineStr">
        <is>
          <t>Lead MQL + Lead SQL events firing reliably across Google + LinkedIn + Microsoft. Enables tCPA bidding, accurate ROAS, defensible CAC reporting.</t>
        </is>
      </c>
      <c r="D27" s="158" t="n"/>
      <c r="E27" s="158" t="n"/>
      <c r="F27" s="159" t="n"/>
    </row>
    <row r="28" ht="49.5" customHeight="1" s="134">
      <c r="A28" s="163" t="inlineStr">
        <is>
          <t>Governance closure</t>
        </is>
      </c>
      <c r="B28" s="151" t="inlineStr">
        <is>
          <t>4 contractor identities revoked. "Require work-account sign-in" enforced.</t>
        </is>
      </c>
      <c r="C28" s="151" t="inlineStr">
        <is>
          <t>SOC2-grade access governance. Quarterly review cadence prevents recurrence. Sustainability of in-house ops.</t>
        </is>
      </c>
      <c r="D28" s="158" t="n"/>
      <c r="E28" s="158" t="n"/>
      <c r="F28" s="159" t="n"/>
    </row>
    <row r="29" ht="49.5" customHeight="1" s="134">
      <c r="A29" s="163" t="inlineStr">
        <is>
          <t>Channel discipline</t>
        </is>
      </c>
      <c r="B29" s="151" t="inlineStr">
        <is>
          <t>Product-Market Map adherence</t>
        </is>
      </c>
      <c r="C29" s="151" t="inlineStr">
        <is>
          <t>No more FR Workforce paid spend. No more out-of-scope UK Workforce/Easilys/Inpulse. ES Workforce flagship gets proper investment. France gets Easilys focus.</t>
        </is>
      </c>
      <c r="D29" s="158" t="n"/>
      <c r="E29" s="158" t="n"/>
      <c r="F29" s="159" t="n"/>
    </row>
    <row r="30" ht="49.5" customHeight="1" s="134">
      <c r="A30" s="163" t="inlineStr">
        <is>
          <t>Talent + ops</t>
        </is>
      </c>
      <c r="B30" s="151" t="inlineStr">
        <is>
          <t>In-housing complete</t>
        </is>
      </c>
      <c r="C30" s="151" t="inlineStr">
        <is>
          <t>PPC + SEO + CRM all in-house under Zibi. €50K/year agency cost reduction (SEO component, separate program). Adrian + Denis covering full surface area.</t>
        </is>
      </c>
      <c r="D30" s="158" t="n"/>
      <c r="E30" s="158" t="n"/>
      <c r="F30" s="159" t="n"/>
    </row>
    <row r="31" ht="15.75" customHeight="1" s="134"/>
    <row r="32" ht="21.75" customHeight="1" s="134">
      <c r="A32" s="156" t="inlineStr">
        <is>
          <t>COMPETITIVE LANDSCAPE — what we learned per market</t>
        </is>
      </c>
    </row>
    <row r="33" ht="15.75" customHeight="1" s="134">
      <c r="A33" s="160" t="inlineStr">
        <is>
          <t>Market</t>
        </is>
      </c>
      <c r="B33" s="160" t="inlineStr">
        <is>
          <t>Top competitors observed</t>
        </is>
      </c>
      <c r="C33" s="160" t="inlineStr">
        <is>
          <t>Strategic implication</t>
        </is>
      </c>
      <c r="D33" s="158" t="n"/>
      <c r="E33" s="158" t="n"/>
      <c r="F33" s="159" t="n"/>
    </row>
    <row r="34" ht="60" customHeight="1" s="134">
      <c r="A34" s="162" t="inlineStr">
        <is>
          <t>UK</t>
        </is>
      </c>
      <c r="B34" s="151" t="inlineStr">
        <is>
          <t>Lightspeed, Cloudbeds, EposNow, Access Group, Absorb (LMS auction beating Mapal 14.97% IS vs 11.07%)</t>
        </is>
      </c>
      <c r="C34" s="151" t="inlineStr">
        <is>
          <t>Workforce SaaS NOT the dominant UK competitive set. LMS/training is. Reframe UK messaging around training + execution + retention rather than workforce management.</t>
        </is>
      </c>
      <c r="D34" s="158" t="n"/>
      <c r="E34" s="158" t="n"/>
      <c r="F34" s="159" t="n"/>
    </row>
    <row r="35" ht="60" customHeight="1" s="134">
      <c r="A35" s="162" t="inlineStr">
        <is>
          <t>Iberia (ES + LATAM)</t>
        </is>
      </c>
      <c r="B35" s="151" t="inlineStr">
        <is>
          <t>tramitapp, factorial (HR/payroll SaaS). NO Lightspeed appearance.</t>
        </is>
      </c>
      <c r="C35" s="151" t="inlineStr">
        <is>
          <t>HR/payroll is the local competitive set, NOT POS. ES Workforce positioning is correct. Mapal differentiation: hospitality-specific vs generic HR.</t>
        </is>
      </c>
      <c r="D35" s="158" t="n"/>
      <c r="E35" s="158" t="n"/>
      <c r="F35" s="159" t="n"/>
    </row>
    <row r="36" ht="60" customHeight="1" s="134">
      <c r="A36" s="162" t="inlineStr">
        <is>
          <t>France</t>
        </is>
      </c>
      <c r="B36" s="151" t="inlineStr">
        <is>
          <t>Lightspeed (52% abs top), Skello (consistent presence), Sage, Eurecia, guide-erp.fr, Adoria.</t>
        </is>
      </c>
      <c r="C36" s="151" t="inlineStr">
        <is>
          <t>Lightspeed dominant on French POS auction. Skello = primary FR competitor on Mapal brand. Mapal differentiation: F&amp;B procurement (Easilys) + hospitality specialism vs Skello scheduling-only.</t>
        </is>
      </c>
      <c r="D36" s="158" t="n"/>
      <c r="E36" s="158" t="n"/>
      <c r="F36" s="159" t="n"/>
    </row>
    <row r="37" ht="60" customHeight="1" s="134">
      <c r="A37" s="162" t="inlineStr">
        <is>
          <t>Cross-market</t>
        </is>
      </c>
      <c r="B37" s="151" t="inlineStr">
        <is>
          <t>Zero Fourth/S4 Labour/Bizimply/Harri/Deputy/RotaCloud appearances across all 3 markets.</t>
        </is>
      </c>
      <c r="C37" s="151" t="inlineStr">
        <is>
          <t>The competitive set assumed in HQ thinking does not match reality. Q3 strategy should reframe positioning per market.</t>
        </is>
      </c>
      <c r="D37" s="158" t="n"/>
      <c r="E37" s="158" t="n"/>
      <c r="F37" s="159" t="n"/>
    </row>
    <row r="38" ht="15.75" customHeight="1" s="134"/>
    <row r="39" ht="21.75" customHeight="1" s="134">
      <c r="A39" s="156" t="inlineStr">
        <is>
          <t>90-DAY PLAN AHEAD</t>
        </is>
      </c>
    </row>
    <row r="40" ht="15.75" customHeight="1" s="134">
      <c r="A40" s="160" t="inlineStr">
        <is>
          <t>Phase</t>
        </is>
      </c>
      <c r="B40" s="160" t="inlineStr">
        <is>
          <t>Theme</t>
        </is>
      </c>
      <c r="C40" s="160" t="inlineStr">
        <is>
          <t>Key activities</t>
        </is>
      </c>
      <c r="D40" s="158" t="n"/>
      <c r="E40" s="158" t="n"/>
      <c r="F40" s="159" t="n"/>
    </row>
    <row r="41" ht="54.75" customHeight="1" s="134">
      <c r="A41" s="164" t="inlineStr">
        <is>
          <t>Days 0-14 (now → 9 June)</t>
        </is>
      </c>
      <c r="B41" s="165" t="inlineStr">
        <is>
          <t>Stabilise</t>
        </is>
      </c>
      <c r="C41" s="151" t="inlineStr">
        <is>
          <t>Governance closure (Zibi). Brand defence reactivation. Conversion goal cleanup. FR Microsoft Workforce pause. ES Compra fix. conversion-signal fix in flight.</t>
        </is>
      </c>
      <c r="D41" s="158" t="n"/>
      <c r="E41" s="159" t="n"/>
      <c r="F41" s="151" t="inlineStr">
        <is>
          <t>Adrian + Zibi + Andy</t>
        </is>
      </c>
    </row>
    <row r="42" ht="54.75" customHeight="1" s="134">
      <c r="A42" s="164" t="inlineStr">
        <is>
          <t>Days 15-30 (10-30 June)</t>
        </is>
      </c>
      <c r="B42" s="165" t="inlineStr">
        <is>
          <t>Replatform</t>
        </is>
      </c>
      <c r="C42" s="151" t="inlineStr">
        <is>
          <t>Bid strategy maturation (Max Clicks → Max Conv → tCPA where appropriate). Lead Gen Form replication briefs. Owner-role activation 15 June. HubSpot foundation audit progressing.</t>
        </is>
      </c>
      <c r="D42" s="158" t="n"/>
      <c r="E42" s="159" t="n"/>
      <c r="F42" s="151" t="inlineStr">
        <is>
          <t>Adrian + market GMMs</t>
        </is>
      </c>
    </row>
    <row r="43" ht="54.75" customHeight="1" s="134">
      <c r="A43" s="164" t="inlineStr">
        <is>
          <t>Days 31-60 (July)</t>
        </is>
      </c>
      <c r="B43" s="165" t="inlineStr">
        <is>
          <t>Replicate</t>
        </is>
      </c>
      <c r="C43" s="151" t="inlineStr">
        <is>
          <t>Lead Gen Form playbook live UK + ES. First nurture sequence live. Weekly metrics flowing. Re-baseline waste calculations 30d post-tracking-fix.</t>
        </is>
      </c>
      <c r="D43" s="158" t="n"/>
      <c r="E43" s="159" t="n"/>
      <c r="F43" s="151" t="inlineStr">
        <is>
          <t>Adrian + Sebastian</t>
        </is>
      </c>
    </row>
    <row r="44" ht="54.75" customHeight="1" s="134">
      <c r="A44" s="164" t="inlineStr">
        <is>
          <t>Days 61-90 (August)</t>
        </is>
      </c>
      <c r="B44" s="165" t="inlineStr">
        <is>
          <t>Optimise</t>
        </is>
      </c>
      <c r="C44" s="151" t="inlineStr">
        <is>
          <t>France public-sector LP build. ES Microsoft Ads consideration if budget reallocates. Q3 strategy review with full data. Annual plan input.</t>
        </is>
      </c>
      <c r="D44" s="158" t="n"/>
      <c r="E44" s="159" t="n"/>
      <c r="F44" s="151" t="inlineStr">
        <is>
          <t>Adrian + Zibi + Sebastian</t>
        </is>
      </c>
    </row>
    <row r="45" ht="15.75" customHeight="1" s="134"/>
    <row r="46" ht="21.75" customHeight="1" s="134">
      <c r="A46" s="156" t="inlineStr">
        <is>
          <t>ASKS FOR THIS MEETING</t>
        </is>
      </c>
    </row>
    <row r="47" ht="15.75" customHeight="1" s="134">
      <c r="A47" s="160" t="inlineStr">
        <is>
          <t>#</t>
        </is>
      </c>
      <c r="B47" s="160" t="inlineStr">
        <is>
          <t>Ask</t>
        </is>
      </c>
      <c r="C47" s="160" t="inlineStr">
        <is>
          <t>What it means</t>
        </is>
      </c>
      <c r="D47" s="158" t="n"/>
      <c r="E47" s="158" t="n"/>
      <c r="F47" s="159" t="n"/>
    </row>
    <row r="48" ht="45" customHeight="1" s="134">
      <c r="A48" s="166" t="inlineStr">
        <is>
          <t>1</t>
        </is>
      </c>
      <c r="B48" s="167" t="inlineStr">
        <is>
          <t>Confirm strategy direction</t>
        </is>
      </c>
      <c r="C48" s="151" t="inlineStr">
        <is>
          <t>Product-Market Map adherence as the discipline. Lead Gen Form replacing narrow ABM. Brand defence reactivation. Tracking-first sequencing.</t>
        </is>
      </c>
      <c r="D48" s="158" t="n"/>
      <c r="E48" s="158" t="n"/>
      <c r="F48" s="159" t="n"/>
    </row>
    <row r="49" ht="45" customHeight="1" s="134">
      <c r="A49" s="166" t="inlineStr">
        <is>
          <t>2</t>
        </is>
      </c>
      <c r="B49" s="167" t="inlineStr">
        <is>
          <t>Approve contractor revocation pile</t>
        </is>
      </c>
      <c r="C49" s="151" t="inlineStr">
        <is>
          <t>Lukas + Fabrice + TCE-ClickBoost verification + Recommendations Auto-Apply disable. Requires Zibi action.</t>
        </is>
      </c>
      <c r="D49" s="158" t="n"/>
      <c r="E49" s="158" t="n"/>
      <c r="F49" s="159" t="n"/>
    </row>
    <row r="50" ht="45" customHeight="1" s="134">
      <c r="A50" s="166" t="inlineStr">
        <is>
          <t>3</t>
        </is>
      </c>
      <c r="B50" s="167" t="inlineStr">
        <is>
          <t>Endorse Andy/RevOps priority</t>
        </is>
      </c>
      <c r="C50" s="151" t="inlineStr">
        <is>
          <t>The conversion signal (site dataLayer plus the Lead MQL/SQL events). The single critical-path blocker, owned by us and the website lead, with RevOps only for the cross-system sync.</t>
        </is>
      </c>
      <c r="D50" s="158" t="n"/>
      <c r="E50" s="158" t="n"/>
      <c r="F50" s="159" t="n"/>
    </row>
    <row r="51" ht="45" customHeight="1" s="134">
      <c r="A51" s="166" t="inlineStr">
        <is>
          <t>4</t>
        </is>
      </c>
      <c r="B51" s="167" t="inlineStr">
        <is>
          <t>Acknowledge 15 June owner-role activation</t>
        </is>
      </c>
      <c r="C51" s="151" t="inlineStr">
        <is>
          <t>Adrian formally owns paid + nurture. Weekly cadence begins. Sebastian visibility plan agreed.</t>
        </is>
      </c>
      <c r="D51" s="158" t="n"/>
      <c r="E51" s="158" t="n"/>
      <c r="F51" s="159" t="n"/>
    </row>
    <row r="52" ht="45" customHeight="1" s="134">
      <c r="A52" s="166" t="inlineStr">
        <is>
          <t>5</t>
        </is>
      </c>
      <c r="B52" s="167" t="inlineStr">
        <is>
          <t>Agree on Friday share format going forward</t>
        </is>
      </c>
      <c r="C52" s="151" t="inlineStr">
        <is>
          <t>Weekly 30-min Adrian-Zibi check. Monthly 1-pager to Sebastian. Quarterly review cycle.</t>
        </is>
      </c>
      <c r="D52" s="158" t="n"/>
      <c r="E52" s="158" t="n"/>
      <c r="F52" s="159" t="n"/>
    </row>
    <row r="53" ht="15.75" customHeight="1" s="134"/>
    <row r="54" ht="21.75" customHeight="1" s="134">
      <c r="A54" s="156" t="inlineStr">
        <is>
          <t>PAID CONTRIBUTION BY SOURCE (DYNAMICS, 12 MONTHS)</t>
        </is>
      </c>
    </row>
    <row r="55" ht="21.75" customHeight="1" s="134">
      <c r="A55" s="160" t="inlineStr">
        <is>
          <t>Metric</t>
        </is>
      </c>
      <c r="B55" s="160" t="inlineStr">
        <is>
          <t>Figure</t>
        </is>
      </c>
      <c r="C55" s="160" t="inlineStr">
        <is>
          <t>Notes</t>
        </is>
      </c>
      <c r="D55" s="158" t="n"/>
      <c r="E55" s="158" t="n"/>
      <c r="F55" s="159" t="n"/>
    </row>
    <row r="56" ht="48" customHeight="1" s="134">
      <c r="A56" s="161" t="inlineStr">
        <is>
          <t>Paid rank by closed-won deals</t>
        </is>
      </c>
      <c r="B56" s="162" t="inlineStr">
        <is>
          <t>#2 of all sources</t>
        </is>
      </c>
      <c r="C56" s="151" t="inlineStr">
        <is>
          <t>19 won over 12 months, behind only the last-touch Request a Demo bucket (62). Ahead of website (13), Marketing Event (7) and Marketing Email (2). On the measure that becomes revenue, paid is a top-two source.</t>
        </is>
      </c>
      <c r="D56" s="158" t="n"/>
      <c r="E56" s="158" t="n"/>
      <c r="F56" s="159" t="n"/>
    </row>
    <row r="57" ht="48" customHeight="1" s="134">
      <c r="A57" s="161" t="inlineStr">
        <is>
          <t>Paid rank by pipeline value</t>
        </is>
      </c>
      <c r="B57" s="162" t="inlineStr">
        <is>
          <t>#4 of all sources</t>
        </is>
      </c>
      <c r="C57" s="151" t="inlineStr">
        <is>
          <t>€1.05M across 120 opps. Above it: Request a Demo (€6.04M), Marketing Event (€1.73M), Marketing Email (€1.37M). Pipeline value counts opportunities created, not deals won, which is why the value rank understates paid.</t>
        </is>
      </c>
      <c r="D57" s="158" t="n"/>
      <c r="E57" s="158" t="n"/>
      <c r="F57" s="159" t="n"/>
    </row>
    <row r="58" ht="48" customHeight="1" s="134">
      <c r="A58" s="161" t="inlineStr">
        <is>
          <t>Paid win rate</t>
        </is>
      </c>
      <c r="B58" s="162" t="inlineStr">
        <is>
          <t>15.8%</t>
        </is>
      </c>
      <c r="C58" s="151" t="inlineStr">
        <is>
          <t>Won deals divided by opportunities. Essentially tied with website (16.0%) and the demo bucket (15.7%), far above Marketing Event (5.1%) and Marketing Email (1.7%). Email carries more pipeline than paid but converts almost none of it.</t>
        </is>
      </c>
      <c r="D58" s="158" t="n"/>
      <c r="E58" s="158" t="n"/>
      <c r="F58" s="159" t="n"/>
    </row>
    <row r="59" ht="48" customHeight="1" s="134">
      <c r="A59" s="161" t="inlineStr">
        <is>
          <t>Paid opportunities</t>
        </is>
      </c>
      <c r="B59" s="162" t="inlineStr">
        <is>
          <t>120</t>
        </is>
      </c>
      <c r="C59" s="151" t="inlineStr">
        <is>
          <t>UK 47, France 46, Spain 27. Tied with Marketing Email on count, behind Request a Demo (394) and Marketing Event (138). 19 of the 120 are closed-won.</t>
        </is>
      </c>
      <c r="D59" s="158" t="n"/>
      <c r="E59" s="158" t="n"/>
      <c r="F59" s="159" t="n"/>
    </row>
    <row r="60" ht="48" customHeight="1" s="134">
      <c r="A60" s="161" t="inlineStr">
        <is>
          <t>Shown as paid in HubSpot today</t>
        </is>
      </c>
      <c r="B60" s="162" t="inlineStr">
        <is>
          <t>~19 (reporting floor)</t>
        </is>
      </c>
      <c r="C60" s="151" t="inlineStr">
        <is>
          <t>Legacy option IDs, sync-written source and last-touch credit understate paid in standard reports. The HubSpot attribution design is sound; the breaks are upstream. A one-time re-map of the historic ~10,920 blank-source deals is recoverable but provisional, to verify on sample deals first.</t>
        </is>
      </c>
      <c r="D60" s="158" t="n"/>
      <c r="E60" s="158" t="n"/>
      <c r="F60" s="159" t="n"/>
    </row>
    <row r="61" ht="48" customHeight="1" s="134">
      <c r="A61" s="161" t="inlineStr">
        <is>
          <t>Open item: reconcile filtered view</t>
        </is>
      </c>
      <c r="B61" s="162" t="inlineStr">
        <is>
          <t>Use full export</t>
        </is>
      </c>
      <c r="C61" s="151" t="inlineStr">
        <is>
          <t>A separate filtered source view (shared earlier) ranks paid #3 by value with smaller totals. It does not reconcile on opportunity count with this full 875-opp, 12-month export, which points to a different window or filter. Confirm its basis before using its numbers.</t>
        </is>
      </c>
      <c r="D61" s="158" t="n"/>
      <c r="E61" s="158" t="n"/>
      <c r="F61" s="159" t="n"/>
    </row>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mergeCells count="54">
    <mergeCell ref="C52:F52"/>
    <mergeCell ref="A54:F54"/>
    <mergeCell ref="B7:F7"/>
    <mergeCell ref="C17:F17"/>
    <mergeCell ref="C41:E41"/>
    <mergeCell ref="C44:E44"/>
    <mergeCell ref="A46:F46"/>
    <mergeCell ref="C48:F48"/>
    <mergeCell ref="C61:F61"/>
    <mergeCell ref="C57:F57"/>
    <mergeCell ref="C43:E43"/>
    <mergeCell ref="C19:F19"/>
    <mergeCell ref="C37:F37"/>
    <mergeCell ref="C28:F28"/>
    <mergeCell ref="C13:F13"/>
    <mergeCell ref="A2:F2"/>
    <mergeCell ref="C18:F18"/>
    <mergeCell ref="C49:F49"/>
    <mergeCell ref="C34:F34"/>
    <mergeCell ref="A23:F23"/>
    <mergeCell ref="A32:F32"/>
    <mergeCell ref="C30:F30"/>
    <mergeCell ref="C15:F15"/>
    <mergeCell ref="C33:F33"/>
    <mergeCell ref="A4:F4"/>
    <mergeCell ref="B8:F8"/>
    <mergeCell ref="C24:F24"/>
    <mergeCell ref="C58:F58"/>
    <mergeCell ref="C14:F14"/>
    <mergeCell ref="C35:F35"/>
    <mergeCell ref="C20:F20"/>
    <mergeCell ref="C26:F26"/>
    <mergeCell ref="C29:F29"/>
    <mergeCell ref="C16:F16"/>
    <mergeCell ref="C25:F25"/>
    <mergeCell ref="C47:F47"/>
    <mergeCell ref="A39:F39"/>
    <mergeCell ref="C55:F55"/>
    <mergeCell ref="B9:F9"/>
    <mergeCell ref="C50:F50"/>
    <mergeCell ref="C42:E42"/>
    <mergeCell ref="C40:F40"/>
    <mergeCell ref="A11:F11"/>
    <mergeCell ref="B6:F6"/>
    <mergeCell ref="C56:F56"/>
    <mergeCell ref="A1:F1"/>
    <mergeCell ref="C12:F12"/>
    <mergeCell ref="B5:F5"/>
    <mergeCell ref="C21:F21"/>
    <mergeCell ref="C59:F59"/>
    <mergeCell ref="C51:F51"/>
    <mergeCell ref="C27:F27"/>
    <mergeCell ref="C60:F60"/>
    <mergeCell ref="C36:F36"/>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9.859999999999999" customWidth="1" style="133" min="1" max="1"/>
    <col width="10.29" customWidth="1" style="133" min="2" max="2"/>
    <col width="56.43" customWidth="1" style="133" min="3" max="3"/>
    <col width="11.14" customWidth="1" style="133" min="4" max="4"/>
    <col width="90.14" customWidth="1" style="133" min="5" max="5"/>
    <col width="54.85" customWidth="1" style="133" min="6" max="6"/>
    <col width="8.289999999999999" customWidth="1" style="133" min="7" max="7"/>
    <col width="29.29" customWidth="1" style="133" min="8" max="8"/>
    <col width="8.710000000000001" customWidth="1" style="133" min="9" max="26"/>
  </cols>
  <sheetData>
    <row r="1" ht="19.5" customHeight="1" s="134">
      <c r="A1" s="168" t="inlineStr">
        <is>
          <t>Executive Summary — top stack-ranked findings</t>
        </is>
      </c>
    </row>
    <row r="2" ht="79.5" customHeight="1" s="134">
      <c r="A2" s="169" t="n">
        <v>2</v>
      </c>
      <c r="B2" s="149" t="inlineStr">
        <is>
          <t>FR</t>
        </is>
      </c>
      <c r="C2" s="151" t="inlineStr">
        <is>
          <t>FR ABM targeting wrong vertical (healthcare/government instead of hospitality)</t>
        </is>
      </c>
      <c r="D2" s="170" t="inlineStr">
        <is>
          <t>CRITICAL</t>
        </is>
      </c>
      <c r="E2" s="151" t="inlineStr">
        <is>
          <t>Free-text company list ELSAN (private hospital group) + regional govt. 51% audience = healthcare/education/social services. €441 / 0 leads. FR TOP 100 Accounts v2 matched audience (1.28M, ready, &gt;90% match) sits unused in same account.</t>
        </is>
      </c>
      <c r="F2" s="151" t="inlineStr">
        <is>
          <t>KILL (Zibi already did). Use as Friday data story.</t>
        </is>
      </c>
      <c r="G2" s="149" t="inlineStr">
        <is>
          <t>Done</t>
        </is>
      </c>
      <c r="H2" s="151" t="inlineStr">
        <is>
          <t>N/A</t>
        </is>
      </c>
    </row>
    <row r="3" ht="79.5" customHeight="1" s="134">
      <c r="A3" s="169" t="n">
        <v>3</v>
      </c>
      <c r="B3" s="149" t="inlineStr">
        <is>
          <t>FR→EN/ES</t>
        </is>
      </c>
      <c r="C3" s="151" t="inlineStr">
        <is>
          <t>Lead Gen Form playbook proven — broad-audience native form vs narrow ABM filter on identical offer</t>
        </is>
      </c>
      <c r="D3" s="170" t="inlineStr">
        <is>
          <t>CRITICAL</t>
        </is>
      </c>
      <c r="E3" s="151" t="inlineStr">
        <is>
          <t>Same FR account, same Easilys offer, same Lead Gen Form. Broad audience (22K): 3 leads / €148 CPL. Narrow Top-100 filter: 0 leads / similar spend. Controlled experiment.</t>
        </is>
      </c>
      <c r="F3" s="151" t="inlineStr">
        <is>
          <t>Replicate to EN (UK Flow) and ES (Workforce) post-mid-June.</t>
        </is>
      </c>
      <c r="G3" s="149" t="inlineStr">
        <is>
          <t>Medium</t>
        </is>
      </c>
      <c r="H3" s="151" t="inlineStr">
        <is>
          <t>UK Flow, ES Workforce, FR Easilys</t>
        </is>
      </c>
    </row>
    <row r="4" ht="79.5" customHeight="1" s="134">
      <c r="A4" s="169" t="n">
        <v>4</v>
      </c>
      <c r="B4" s="149" t="inlineStr">
        <is>
          <t>All</t>
        </is>
      </c>
      <c r="C4" s="151" t="inlineStr">
        <is>
          <t>Lead MQL + Lead SQL conversion goals BROKEN across Google + LinkedIn + Microsoft. Three platforms, same pattern.</t>
        </is>
      </c>
      <c r="D4" s="170" t="inlineStr">
        <is>
          <t>CRITICAL</t>
        </is>
      </c>
      <c r="E4" s="151" t="inlineStr">
        <is>
          <t>Google Ads: conversion signal down (a site dataLayer break from the migration; the conversions are live but untriggered). LinkedIn FR: Lead MQL inactive. Microsoft + LinkedIn tag infrastructure healthy.</t>
        </is>
      </c>
      <c r="F4" s="151" t="inlineStr">
        <is>
          <t>Cross-channel investigation with Andy/RevOps. Gates Nurture launch. Likely single root cause.</t>
        </is>
      </c>
      <c r="G4" s="149" t="inlineStr">
        <is>
          <t>High</t>
        </is>
      </c>
      <c r="H4" s="151" t="inlineStr">
        <is>
          <t>Cross-channel</t>
        </is>
      </c>
    </row>
    <row r="5" ht="79.5" customHeight="1" s="134">
      <c r="A5" s="169" t="n">
        <v>5</v>
      </c>
      <c r="B5" s="151" t="inlineStr">
        <is>
          <t>UK</t>
        </is>
      </c>
      <c r="C5" s="151" t="inlineStr">
        <is>
          <t>UK BRAND DEFENCE PAUSED 5+ months on BOTH Google AND Microsoft. Competitors bidding unopposed on Mapal brand. Lifetime €13.64 CPA / 162 conv.</t>
        </is>
      </c>
      <c r="D5" s="171" t="inlineStr">
        <is>
          <t>CRITICAL</t>
        </is>
      </c>
      <c r="E5" s="151" t="inlineStr">
        <is>
          <t>Google UK (CORE) Mapal-EN paused since Dec 4 2025. Microsoft UK EN-BING ADS entire account paused (€393/day capacity sitting latent). Competitor bidders confirmed: Lightspeed, Cloudbeds, EposNow, Access Group.</t>
        </is>
      </c>
      <c r="F5" s="151" t="inlineStr">
        <is>
          <t>Unpause UK Google Mapal-EN brand defence as-is (proven CPA). Reactivate UK Microsoft brand defence parallel (small daily budget, captures 5-10% UK search Google misses).</t>
        </is>
      </c>
      <c r="G5" s="151" t="inlineStr">
        <is>
          <t>Low</t>
        </is>
      </c>
      <c r="H5" s="151" t="inlineStr">
        <is>
          <t>UK Flow</t>
        </is>
      </c>
    </row>
    <row r="6" ht="79.5" customHeight="1" s="134">
      <c r="A6" s="169" t="n">
        <v>6</v>
      </c>
      <c r="B6" s="149" t="inlineStr">
        <is>
          <t>ES</t>
        </is>
      </c>
      <c r="C6" s="151" t="inlineStr">
        <is>
          <t>Workforce-ES Search killer keyword: €7,300 / 1 conv, 27% of Spain Google Ads spend</t>
        </is>
      </c>
      <c r="D6" s="170" t="inlineStr">
        <is>
          <t>CRITICAL</t>
        </is>
      </c>
      <c r="E6" s="151" t="inlineStr">
        <is>
          <t>Limited by budget. 90% mobile (€6,593 / 0 conv) vs PMax-Workforce-ES = 5 conv @ €79 CPA mobile.</t>
        </is>
      </c>
      <c r="F6" s="151" t="inlineStr">
        <is>
          <t>Pause mobile = save €2,200/mo. Move Workforce-ES off Maximize Clicks to tCPA (blocked by tag fix).</t>
        </is>
      </c>
      <c r="G6" s="149" t="inlineStr">
        <is>
          <t>Low</t>
        </is>
      </c>
      <c r="H6" s="151" t="inlineStr">
        <is>
          <t>ES Workforce</t>
        </is>
      </c>
    </row>
    <row r="7" ht="79.5" customHeight="1" s="134">
      <c r="A7" s="169" t="n">
        <v>7</v>
      </c>
      <c r="B7" s="149" t="inlineStr">
        <is>
          <t>UK</t>
        </is>
      </c>
      <c r="C7" s="151" t="inlineStr">
        <is>
          <t>UK ABM under-spent at $2.75/day across 2.17M audience — permanent cold-start</t>
        </is>
      </c>
      <c r="D7" s="172" t="inlineStr">
        <is>
          <t>HIGH</t>
        </is>
      </c>
      <c r="E7" s="151" t="inlineStr">
        <is>
          <t>$248.53 / 90d. LinkedIn needs ~50 conv per ad set to optimise. Setup quality good but spend cannot exit learning phase.</t>
        </is>
      </c>
      <c r="F7" s="151" t="inlineStr">
        <is>
          <t>Fold into broader Lead Gen Form replication post-mid-June.</t>
        </is>
      </c>
      <c r="G7" s="149" t="inlineStr">
        <is>
          <t>Medium</t>
        </is>
      </c>
      <c r="H7" s="151" t="inlineStr">
        <is>
          <t>UK Flow</t>
        </is>
      </c>
    </row>
    <row r="8" ht="79.5" customHeight="1" s="134">
      <c r="A8" s="169" t="n">
        <v>8</v>
      </c>
      <c r="B8" s="149" t="inlineStr">
        <is>
          <t>FR</t>
        </is>
      </c>
      <c r="C8" s="151" t="inlineStr">
        <is>
          <t>FR Audience ads (Microsoft Audience Network) burning €900/90d for 1 conv. 31% of FR Bing spend wasted.</t>
        </is>
      </c>
      <c r="D8" s="172" t="inlineStr">
        <is>
          <t>HIGH</t>
        </is>
      </c>
      <c r="E8" s="151" t="inlineStr">
        <is>
          <t>1,656 clicks / 629,868 impressions / €900.91 / 1 conv attributed. Display/audience remarketing, broad targeting, near-zero output.</t>
        </is>
      </c>
      <c r="F8" s="151" t="inlineStr">
        <is>
          <t>Pause all FR Microsoft Audience Network campaigns. Save ~€300/mo immediately.</t>
        </is>
      </c>
      <c r="G8" s="149" t="inlineStr">
        <is>
          <t>Low</t>
        </is>
      </c>
      <c r="H8" s="151" t="inlineStr">
        <is>
          <t>FR Easilys</t>
        </is>
      </c>
    </row>
    <row r="9" ht="79.5" customHeight="1" s="134">
      <c r="A9" s="169" t="n">
        <v>9</v>
      </c>
      <c r="B9" s="149" t="inlineStr">
        <is>
          <t>UK</t>
        </is>
      </c>
      <c r="C9" s="151" t="inlineStr">
        <is>
          <t>UK Microsoft Ads time zone misconfigured: GMT+02:00 Helsinki for a UK account</t>
        </is>
      </c>
      <c r="D9" s="172" t="inlineStr">
        <is>
          <t>HIGH</t>
        </is>
      </c>
      <c r="E9" s="151" t="inlineStr">
        <is>
          <t>EN-BING ADS account: time zone Helsinki/Kyiv/Riga. Should be Europe/London. Breaks day-parting and YoY comparisons.</t>
        </is>
      </c>
      <c r="F9" s="151" t="inlineStr">
        <is>
          <t>Change in account settings or open Microsoft support ticket if locked.</t>
        </is>
      </c>
      <c r="G9" s="149" t="inlineStr">
        <is>
          <t>Low</t>
        </is>
      </c>
      <c r="H9" s="151" t="inlineStr">
        <is>
          <t>Hygiene</t>
        </is>
      </c>
    </row>
    <row r="10" ht="79.5" customHeight="1" s="134">
      <c r="A10" s="169" t="n">
        <v>10</v>
      </c>
      <c r="B10" s="149" t="inlineStr">
        <is>
          <t>All</t>
        </is>
      </c>
      <c r="C10" s="151" t="inlineStr">
        <is>
          <t>Broken/Inactive conversion goals attached across all 3 LinkedIn ABM ad sets</t>
        </is>
      </c>
      <c r="D10" s="172" t="inlineStr">
        <is>
          <t>HIGH</t>
        </is>
      </c>
      <c r="E10" s="151" t="inlineStr">
        <is>
          <t>UK: 3 of 7 broken. ES: 1 of 3 broken. FR: 1 Inactive (Lead MQL) + 1 "do not use" still attached.</t>
        </is>
      </c>
      <c r="F10" s="151" t="inlineStr">
        <is>
          <t>Cleanup pass with verified test fires before re-attaching.</t>
        </is>
      </c>
      <c r="G10" s="149" t="inlineStr">
        <is>
          <t>Medium</t>
        </is>
      </c>
      <c r="H10" s="151" t="inlineStr">
        <is>
          <t>Cross-channel</t>
        </is>
      </c>
    </row>
    <row r="11" ht="79.5" customHeight="1" s="134">
      <c r="A11" s="169" t="n">
        <v>11</v>
      </c>
      <c r="B11" s="149" t="inlineStr">
        <is>
          <t>FR</t>
        </is>
      </c>
      <c r="C11" s="151" t="inlineStr">
        <is>
          <t>FR Mapal brand auctions: Skello, Sage, Eurecia competitors active. Brand bleeding.</t>
        </is>
      </c>
      <c r="D11" s="172" t="inlineStr">
        <is>
          <t>HIGH</t>
        </is>
      </c>
      <c r="E11" s="151" t="inlineStr">
        <is>
          <t>(CORE) Mapal-FR Bing impression share 1.24%-55.81% against 4 competitors. €369 on 2 Workforce-tagged Mapal-brand keywords also bleeding into wrong product positioning.</t>
        </is>
      </c>
      <c r="F11" s="151" t="inlineStr">
        <is>
          <t>Bid up Mapal brand on FR Bing (small budget, high IS gain). Track Skello as recurring FR competitor across paid.</t>
        </is>
      </c>
      <c r="G11" s="149" t="inlineStr">
        <is>
          <t>Low</t>
        </is>
      </c>
      <c r="H11" s="151" t="inlineStr">
        <is>
          <t>FR brand</t>
        </is>
      </c>
    </row>
    <row r="12" ht="79.5" customHeight="1" s="134">
      <c r="A12" s="169" t="n">
        <v>12</v>
      </c>
      <c r="B12" s="149" t="inlineStr">
        <is>
          <t>UK</t>
        </is>
      </c>
      <c r="C12" s="151" t="inlineStr">
        <is>
          <t>UK has ZERO Google Ads negative keyword list. Microsoft UK status unknown (Bing audit gap).</t>
        </is>
      </c>
      <c r="D12" s="172" t="inlineStr">
        <is>
          <t>HIGH</t>
        </is>
      </c>
      <c r="E12" s="151" t="inlineStr">
        <is>
          <t>No structured negative keyword governance on Google UK. ES Google only 42. Microsoft UK to be confirmed in next Bing session.</t>
        </is>
      </c>
      <c r="F12" s="151" t="inlineStr">
        <is>
          <t>Build shared negative keyword library across all 3 markets, sync Google + Microsoft.</t>
        </is>
      </c>
      <c r="G12" s="149" t="inlineStr">
        <is>
          <t>Medium</t>
        </is>
      </c>
      <c r="H12" s="151" t="inlineStr">
        <is>
          <t>All Google + Microsoft</t>
        </is>
      </c>
    </row>
    <row r="13" ht="79.5" customHeight="1" s="134">
      <c r="A13" s="169" t="n">
        <v>13</v>
      </c>
      <c r="B13" s="149" t="inlineStr">
        <is>
          <t>UK</t>
        </is>
      </c>
      <c r="C13" s="151" t="inlineStr">
        <is>
          <t>YoY UK Google Ads: Cost +75%, Conv -62%, CPA +360%</t>
        </is>
      </c>
      <c r="D13" s="172" t="inlineStr">
        <is>
          <t>HIGH</t>
        </is>
      </c>
      <c r="E13" s="151" t="inlineStr">
        <is>
          <t>Jan-May 2026 vs same window 2025.</t>
        </is>
      </c>
      <c r="F13" s="151" t="inlineStr">
        <is>
          <t>Brand defence unpause is single biggest CPA-reducing lever.</t>
        </is>
      </c>
      <c r="G13" s="149" t="inlineStr">
        <is>
          <t>Low</t>
        </is>
      </c>
      <c r="H13" s="151" t="inlineStr">
        <is>
          <t>UK Flow</t>
        </is>
      </c>
    </row>
    <row r="14" ht="79.5" customHeight="1" s="134">
      <c r="A14" s="169" t="n">
        <v>14</v>
      </c>
      <c r="B14" s="149" t="inlineStr">
        <is>
          <t>ES</t>
        </is>
      </c>
      <c r="C14" s="151" t="inlineStr">
        <is>
          <t>YoY Spain Google Ads: Cost +49%, Conv -65%, CPA +321%</t>
        </is>
      </c>
      <c r="D14" s="172" t="inlineStr">
        <is>
          <t>HIGH</t>
        </is>
      </c>
      <c r="E14" s="151" t="inlineStr">
        <is>
          <t>Jan-May 2026 vs same window 2025.</t>
        </is>
      </c>
      <c r="F14" s="151" t="inlineStr">
        <is>
          <t>Mobile waste fix + Workforce-ES bid strategy fix are biggest levers.</t>
        </is>
      </c>
      <c r="G14" s="149" t="inlineStr">
        <is>
          <t>Low</t>
        </is>
      </c>
      <c r="H14" s="151" t="inlineStr">
        <is>
          <t>ES Workforce</t>
        </is>
      </c>
    </row>
    <row r="15" ht="79.5" customHeight="1" s="134">
      <c r="A15" s="169" t="n">
        <v>15</v>
      </c>
      <c r="B15" s="149" t="inlineStr">
        <is>
          <t>FR</t>
        </is>
      </c>
      <c r="C15" s="151" t="inlineStr">
        <is>
          <t>France Google Ads waste: €9,160 across 52 keywords (44% of FR Google budget). Plus FR Bing Workforce waste.</t>
        </is>
      </c>
      <c r="D15" s="172" t="inlineStr">
        <is>
          <t>HIGH</t>
        </is>
      </c>
      <c r="E15" s="151" t="inlineStr">
        <is>
          <t>Google: 12 Easilys Scale variants, "logiciel restauration collective" €2,443 across 3 campaigns. Bing: parallel Workforce waste pattern.</t>
        </is>
      </c>
      <c r="F15" s="151" t="inlineStr">
        <is>
          <t>Consolidate Easilys variants. Build negative keyword list. Kill all FR Workforce paid.</t>
        </is>
      </c>
      <c r="G15" s="149" t="inlineStr">
        <is>
          <t>Medium</t>
        </is>
      </c>
      <c r="H15" s="151" t="inlineStr">
        <is>
          <t>FR Easilys</t>
        </is>
      </c>
    </row>
    <row r="16" ht="79.5" customHeight="1" s="134">
      <c r="A16" s="169" t="n">
        <v>16</v>
      </c>
      <c r="B16" s="149" t="inlineStr">
        <is>
          <t>All</t>
        </is>
      </c>
      <c r="C16" s="173" t="inlineStr">
        <is>
          <t>[SUPERSEDED — see #17 below for actual finding. Original placeholder when Bing audit had not yet run.]</t>
        </is>
      </c>
      <c r="D16" s="172" t="inlineStr">
        <is>
          <t>HIGH</t>
        </is>
      </c>
      <c r="E16" s="151" t="inlineStr">
        <is>
          <t>Governance risk. Microsoft admin user list inaccessible via standard URL — escalate to Zibi for full audit.</t>
        </is>
      </c>
      <c r="F16" s="151" t="inlineStr">
        <is>
          <t>Zibi to take Master Admin via Lukas transfer. Microsoft accounts: confirm Lukas still has access and any @gmail.com admins.</t>
        </is>
      </c>
      <c r="G16" s="149" t="inlineStr">
        <is>
          <t>Low</t>
        </is>
      </c>
      <c r="H16" s="151" t="inlineStr">
        <is>
          <t>Governance</t>
        </is>
      </c>
    </row>
    <row r="17" ht="94.5" customHeight="1" s="134">
      <c r="A17" s="169" t="n">
        <v>17</v>
      </c>
      <c r="B17" s="149" t="inlineStr">
        <is>
          <t>All</t>
        </is>
      </c>
      <c r="C17" s="151" t="inlineStr">
        <is>
          <t>GOVERNANCE: Terminated contractor Lukas retains Primary Super Admin on both Bing accounts via personal Gmail (Luksius11@gmail.com)</t>
        </is>
      </c>
      <c r="D17" s="170" t="inlineStr">
        <is>
          <t>CRITICAL</t>
        </is>
      </c>
      <c r="E17" s="151" t="inlineStr">
        <is>
          <t>User management captured this session. Lukas Pangonis Super Admin, sign-in type Personal account, last sign-in 05/05/2026. "Require sign-in with a work account" Off. Same person, same Gmail flagged across Google Ads ES. Zibi has Super Admin and can revoke immediately.</t>
        </is>
      </c>
      <c r="F17" s="151" t="inlineStr">
        <is>
          <t>Escalate to Zibi today. Revoke Lukas Super Admin on both accounts, flip "Require work account sign-in" to ON, revoke pending Fabrice invite. Same revocation pass.</t>
        </is>
      </c>
      <c r="G17" s="149" t="inlineStr">
        <is>
          <t>Low</t>
        </is>
      </c>
      <c r="H17" s="151" t="inlineStr">
        <is>
          <t>Governance</t>
        </is>
      </c>
    </row>
    <row r="18" ht="94.5" customHeight="1" s="134">
      <c r="A18" s="169" t="n">
        <v>18</v>
      </c>
      <c r="B18" s="149" t="inlineStr">
        <is>
          <t>FR</t>
        </is>
      </c>
      <c r="C18" s="151" t="inlineStr">
        <is>
          <t>GOVERNANCE + WASTE: 250-keyword Easilys negative list sitting orphaned in FR Bing. Best curated list in the account attached to ZERO campaigns.</t>
        </is>
      </c>
      <c r="D18" s="172" t="inlineStr">
        <is>
          <t>HIGH</t>
        </is>
      </c>
      <c r="E18" s="151" t="inlineStr">
        <is>
          <t>3 shared neg KW lists exist on FR Bing. "Other brands" 75 KWs attached to 33 campaigns (working). "Easilys Negatives FR" 250 KWs / 0 campaigns. "Negative List - UK - LMS" 34 KWs / 0 campaigns. Easilys list is the largest by 3x and most product-relevant for FR flagship — never connected.</t>
        </is>
      </c>
      <c r="F18" s="151" t="inlineStr">
        <is>
          <t>Attach Easilys list to all 16+ active FR Easilys campaigns. Quick spend efficiency win. Archive UK-LMS list from FR account.</t>
        </is>
      </c>
      <c r="G18" s="149" t="inlineStr">
        <is>
          <t>Low</t>
        </is>
      </c>
      <c r="H18" s="151" t="inlineStr">
        <is>
          <t>FR Easilys</t>
        </is>
      </c>
    </row>
    <row r="20" ht="15.75" customHeight="1" s="134"/>
    <row r="21" ht="15.75" customHeight="1" s="134"/>
    <row r="22" ht="15.75" customHeight="1" s="134"/>
    <row r="23" ht="15.75" customHeight="1" s="134"/>
    <row r="24" ht="15.75" customHeight="1" s="134"/>
    <row r="25" ht="15.75" customHeight="1" s="134"/>
    <row r="26" ht="15.75" customHeight="1" s="134"/>
    <row r="27" ht="15.75" customHeight="1" s="134"/>
    <row r="28" ht="15.75" customHeight="1" s="134"/>
    <row r="29" ht="15.75" customHeight="1" s="134"/>
    <row r="30" ht="15.75" customHeight="1" s="134"/>
    <row r="31" ht="15.75" customHeight="1" s="134"/>
    <row r="32" ht="15.75" customHeight="1" s="134"/>
    <row r="33" ht="15.75" customHeight="1" s="134"/>
    <row r="34" ht="15.75" customHeight="1" s="134"/>
    <row r="35" ht="15.75" customHeight="1" s="134"/>
    <row r="36" ht="15.75" customHeight="1" s="134"/>
    <row r="37" ht="15.75" customHeight="1" s="134"/>
    <row r="38" ht="15.75" customHeight="1" s="134"/>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sheetData>
  <mergeCells count="1">
    <mergeCell ref="A1:G1"/>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22" customWidth="1" style="133" min="1" max="1"/>
    <col width="32" customWidth="1" style="133" min="2" max="6"/>
    <col width="8.710000000000001" customWidth="1" style="133" min="7" max="26"/>
  </cols>
  <sheetData>
    <row r="1" ht="18" customHeight="1" s="134">
      <c r="A1" s="146" t="inlineStr">
        <is>
          <t>CRITICAL PATH — what unblocks what, in execution order</t>
        </is>
      </c>
    </row>
    <row r="2" ht="30" customHeight="1" s="134">
      <c r="A2" s="147" t="inlineStr">
        <is>
          <t>Read left to right. Items in the same column run in parallel. Each item shows what unblocks downstream. Use this to sequence Chrome execution and stakeholder pings.</t>
        </is>
      </c>
    </row>
    <row r="3"/>
    <row r="4" ht="31.5" customHeight="1" s="134">
      <c r="A4" s="160" t="inlineStr">
        <is>
          <t>STAGE</t>
        </is>
      </c>
      <c r="B4" s="148" t="inlineStr">
        <is>
          <t>Adrian (Chrome execution)</t>
        </is>
      </c>
      <c r="C4" s="148" t="inlineStr">
        <is>
          <t>Zibi (escalation)</t>
        </is>
      </c>
      <c r="D4" s="148" t="inlineStr">
        <is>
          <t>Tracking (ours + website lead)</t>
        </is>
      </c>
      <c r="E4" s="148" t="inlineStr">
        <is>
          <t>Market teams (briefs)</t>
        </is>
      </c>
      <c r="F4" s="148" t="inlineStr">
        <is>
          <t>HubSpot audit (parallel)</t>
        </is>
      </c>
    </row>
    <row r="5" ht="129.75" customHeight="1" s="134">
      <c r="A5" s="174" t="inlineStr">
        <is>
          <t>STAGE 0 — TODAY (Tue night)</t>
        </is>
      </c>
      <c r="B5" s="175" t="inlineStr">
        <is>
          <t>Decision: EN ABM ad set 681102153 — recommend PAUSE NOW (last surviving narrow ABM, no conversion goal optimization, structurally broken).</t>
        </is>
      </c>
      <c r="C5" s="175" t="inlineStr">
        <is>
          <t>Already escalated: Lukas Super Admin Microsoft revocation + Fabrice invite + TCE-ClickBoost verification + Recommendations Auto-Apply disable. Awaiting Zibi action.</t>
        </is>
      </c>
      <c r="D5" s="175" t="n"/>
      <c r="E5" s="175" t="n"/>
      <c r="F5" s="175" t="n"/>
    </row>
    <row r="6" ht="129.75" customHeight="1" s="134">
      <c r="A6" s="174" t="inlineStr">
        <is>
          <t>STAGE 1 — WED-THU (this week)</t>
        </is>
      </c>
      <c r="B6" s="175" t="inlineStr">
        <is>
          <t>Pause FR Microsoft Workforce 4 campaigns. Pause FR Microsoft Audience Network. Attach Easilys Negatives FR (250 KWs) to FR Easilys Bing. Archive UK-LMS orphan from FR. Remove Employment Jobs audience from 5 mismatched Google campaigns. Brand defence pre-unpause review (UK Google CORE Mapal-EN).</t>
        </is>
      </c>
      <c r="C6" s="175" t="inlineStr">
        <is>
          <t>Confirm contractor revocations complete. Flip "Require sign-in with work account" ON on both Bing accounts. Confirm 1 active campaign with brand defence config + budget.</t>
        </is>
      </c>
      <c r="D6" s="175" t="inlineStr">
        <is>
          <t>Verify the site dataLayer (form event + form-id keys) via a live test; realign the tag-container triggers.</t>
        </is>
      </c>
      <c r="E6" s="175" t="n"/>
      <c r="F6" s="175" t="inlineStr">
        <is>
          <t>Wed AM: Zibi walkthrough on 1 HubSpot Campaign + Tracking URL. Wed PM: HubSpot S1 Foundation (Account + Users + Tracking + Privacy + Integrations).</t>
        </is>
      </c>
    </row>
    <row r="7" ht="129.75" customHeight="1" s="134">
      <c r="A7" s="174" t="inlineStr">
        <is>
          <t>STAGE 2 — FRIDAY (this week)</t>
        </is>
      </c>
      <c r="B7" s="175" t="inlineStr">
        <is>
          <t>Friday Zibi share: 30-45 min walkthrough of audit + strategy + 90-day plan. Deliverable: 1-page CMO summary (CMO Briefing tab) + master sheet handover.</t>
        </is>
      </c>
      <c r="C7" s="175" t="inlineStr">
        <is>
          <t>Zibi confirms ABM kill final scope (FR only / EN+ES+FR?). Confirms FR Easilys €828 reconciliation. Approves UK brand unpause sequence.</t>
        </is>
      </c>
      <c r="D7" s="175" t="inlineStr">
        <is>
          <t>Status check on the dataLayer and tag fix.</t>
        </is>
      </c>
      <c r="E7" s="175" t="n"/>
      <c r="F7" s="175" t="inlineStr">
        <is>
          <t>HubSpot S2 if capacity (CRM Objects).</t>
        </is>
      </c>
    </row>
    <row r="8" ht="129.75" customHeight="1" s="134">
      <c r="A8" s="174" t="inlineStr">
        <is>
          <t>STAGE 3 — WEEK OF 2 JUNE</t>
        </is>
      </c>
      <c r="B8" s="175" t="inlineStr">
        <is>
          <t>Unpause UK Google CORE Mapal-EN brand defence. Reactivate UK Microsoft brand defence parallel. FR Google conversion goal cleanup (sequenced — see PME notes below). ES Compra cleanup. UK Mapal Demo Form Needs-attention investigation.</t>
        </is>
      </c>
      <c r="C8" s="175" t="inlineStr">
        <is>
          <t>Approve unpaused brand defence config + budget cap before launch.</t>
        </is>
      </c>
      <c r="D8" s="175" t="inlineStr">
        <is>
          <t>Conversion signal restored. Test event firing across UK / ES / FR.</t>
        </is>
      </c>
      <c r="E8" s="175" t="inlineStr">
        <is>
          <t>UK: Rosie Blog 2 ads brief (incoming 2 June). FR: Alexia confirms Easilys offer scope for rescued video campaign.</t>
        </is>
      </c>
      <c r="F8" s="175" t="inlineStr">
        <is>
          <t>HubSpot S3 + S4 (Marketing Capture + Engagement).</t>
        </is>
      </c>
    </row>
    <row r="9" ht="129.75" customHeight="1" s="134">
      <c r="A9" s="174" t="inlineStr">
        <is>
          <t>STAGE 4 — WEEK OF 9 JUNE</t>
        </is>
      </c>
      <c r="B9" s="175" t="inlineStr">
        <is>
          <t>Once the conversion signal is verified (T+7d): switch ES top-10 campaigns Max Clicks to Max Conversions / tCPA.</t>
        </is>
      </c>
      <c r="C9" s="175" t="inlineStr">
        <is>
          <t>Review weekly metrics with Adrian (start of weekly cadence).</t>
        </is>
      </c>
      <c r="D9" s="175" t="inlineStr">
        <is>
          <t>Verify Lead MQL + Lead SQL firing reliably on all 3 platforms.</t>
        </is>
      </c>
      <c r="E9" s="175" t="inlineStr">
        <is>
          <t>UK A/B video test launch (rescued, broader UK Flow ICP audience). 4 ads QHotels hook.</t>
        </is>
      </c>
      <c r="F9" s="175" t="inlineStr">
        <is>
          <t>HubSpot S5 (Data Model + Custom Events — closes the Lead MQL/SQL story end-to-end).</t>
        </is>
      </c>
    </row>
    <row r="10" ht="129.75" customHeight="1" s="134">
      <c r="A10" s="174" t="inlineStr">
        <is>
          <t>STAGE 5 — MID-JUNE (15 June)</t>
        </is>
      </c>
      <c r="B10" s="175" t="inlineStr">
        <is>
          <t>OWNER ROLE ACTIVATES. Adrian-led weekly paid + nurture review begins. FR Easilys consolidated video campaign launches (broader 1.28M FR TOP 100 v2 audience).</t>
        </is>
      </c>
      <c r="C10" s="175" t="inlineStr">
        <is>
          <t>Hands off operational ownership to Adrian. Stays as strategic sponsor.</t>
        </is>
      </c>
      <c r="D10" s="175" t="inlineStr">
        <is>
          <t>Tracking foundation stable. Re-baseline waste calculations 30d post-fix.</t>
        </is>
      </c>
      <c r="E10" s="175" t="inlineStr">
        <is>
          <t>Lead Gen Form briefs: UK Flow (with Ash + Rosie), ES Workforce (with Gema + Laura).</t>
        </is>
      </c>
      <c r="F10" s="175" t="inlineStr">
        <is>
          <t>HubSpot S6 + S7 (Workflows + Reporting).</t>
        </is>
      </c>
    </row>
    <row r="11" ht="129.75" customHeight="1" s="134">
      <c r="A11" s="174" t="inlineStr">
        <is>
          <t>STAGE 6 — END JUNE / EARLY Q3</t>
        </is>
      </c>
      <c r="B11" s="175" t="inlineStr">
        <is>
          <t>Lead Gen Form replication: UK Flow LGF live, ES Workforce LGF live. Bid strategy maturation complete on top campaigns. First nurture sequence live.</t>
        </is>
      </c>
      <c r="C11" s="175" t="inlineStr">
        <is>
          <t>Monthly review with Sebastian. CMO Briefing v2.</t>
        </is>
      </c>
      <c r="D11" s="175" t="inlineStr">
        <is>
          <t>Standard ongoing maintenance.</t>
        </is>
      </c>
      <c r="E11" s="175" t="inlineStr">
        <is>
          <t>GMMs (Ash, Gema, Alexia) operating with weekly metrics visibility.</t>
        </is>
      </c>
      <c r="F11" s="175" t="inlineStr">
        <is>
          <t>HubSpot S8 + gap-fills. HubSpot Master Audit complete.</t>
        </is>
      </c>
    </row>
    <row r="12" ht="129.75" customHeight="1" s="134">
      <c r="A12" s="174" t="inlineStr">
        <is>
          <t>STAGE 7 — Q3 (Jul-Sep)</t>
        </is>
      </c>
      <c r="B12" s="175" t="inlineStr">
        <is>
          <t>France public-sector LP build (Easilys flagship play). ES Microsoft Ads consideration if budget reallocated from ES Workforce Google waste. Quarterly access governance review.</t>
        </is>
      </c>
      <c r="C12" s="175" t="inlineStr">
        <is>
          <t>Quarterly strategy review. Annual plan input.</t>
        </is>
      </c>
      <c r="D12" s="175" t="inlineStr">
        <is>
          <t>Quarterly tracking health check.</t>
        </is>
      </c>
      <c r="E12" s="175" t="inlineStr">
        <is>
          <t>Cross-market Lead Gen Form scaling. Creative refresh.</t>
        </is>
      </c>
      <c r="F12" s="175" t="inlineStr">
        <is>
          <t>Paid media + HubSpot dashboards live. Attribution model documented.</t>
        </is>
      </c>
    </row>
    <row r="13"/>
    <row r="14"/>
    <row r="15" ht="15" customHeight="1" s="134">
      <c r="A15" s="176" t="inlineStr">
        <is>
          <t>SINGLE CRITICAL PATH BLOCKER</t>
        </is>
      </c>
    </row>
    <row r="16" ht="15" customHeight="1" s="134">
      <c r="A16" s="141" t="inlineStr">
        <is>
          <t>Conversion signal / site dataLayer fix (ours and the website lead, with RevOps only for the cross-system sync).</t>
        </is>
      </c>
    </row>
    <row r="17" ht="60" customHeight="1" s="134">
      <c r="A17" s="177" t="inlineStr">
        <is>
          <t>Until this is fixed: 8 BLOCKED Action-Ready items cannot proceed. Mid-June nurture launch is at risk. Re-baseline waste calculations cannot run. Smart Bidding optimization cannot resume on key ES + FR + UK campaigns. This is the #1 dependency Adrian should re-ping Andy on every 3 days until fixed.</t>
        </is>
      </c>
    </row>
    <row r="21" ht="15.75" customHeight="1" s="134"/>
    <row r="22" ht="15.75" customHeight="1" s="134"/>
    <row r="23" ht="15.75" customHeight="1" s="134"/>
    <row r="24" ht="15.75" customHeight="1" s="134"/>
    <row r="25" ht="15.75" customHeight="1" s="134"/>
    <row r="26" ht="15.75" customHeight="1" s="134"/>
    <row r="27" ht="15.75" customHeight="1" s="134"/>
    <row r="28" ht="15.75" customHeight="1" s="134"/>
    <row r="29" ht="15.75" customHeight="1" s="134"/>
    <row r="30" ht="15.75" customHeight="1" s="134"/>
    <row r="31" ht="15.75" customHeight="1" s="134"/>
    <row r="32" ht="15.75" customHeight="1" s="134"/>
    <row r="33" ht="15.75" customHeight="1" s="134"/>
    <row r="34" ht="15.75" customHeight="1" s="134"/>
    <row r="35" ht="15.75" customHeight="1" s="134"/>
    <row r="36" ht="15.75" customHeight="1" s="134"/>
    <row r="37" ht="15.75" customHeight="1" s="134"/>
    <row r="38" ht="15.75" customHeight="1" s="134"/>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mergeCells count="3">
    <mergeCell ref="A2:F2"/>
    <mergeCell ref="A1:F1"/>
    <mergeCell ref="A17:F17"/>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F3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16" customWidth="1" style="133" min="1" max="1"/>
    <col width="20" customWidth="1" style="133" min="2" max="2"/>
    <col width="22" customWidth="1" style="133" min="3" max="3"/>
    <col width="30" customWidth="1" style="133" min="4" max="5"/>
    <col width="22" customWidth="1" style="133" min="6" max="6"/>
    <col width="8.710000000000001" customWidth="1" style="133" min="7" max="26"/>
  </cols>
  <sheetData>
    <row r="1" ht="18" customHeight="1" s="134">
      <c r="A1" s="146" t="inlineStr">
        <is>
          <t>REPORTING CADENCE — daily / weekly / monthly / quarterly review structure</t>
        </is>
      </c>
    </row>
    <row r="2" ht="15" customHeight="1" s="134">
      <c r="A2" s="155" t="inlineStr">
        <is>
          <t>After Friday Zibi share, this is what ongoing reporting looks like. Each cadence has a defined audience, format, and metric set.</t>
        </is>
      </c>
    </row>
    <row r="3"/>
    <row r="4" ht="34.5" customHeight="1" s="134">
      <c r="A4" s="148" t="inlineStr">
        <is>
          <t>Cadence</t>
        </is>
      </c>
      <c r="B4" s="148" t="inlineStr">
        <is>
          <t>Participants</t>
        </is>
      </c>
      <c r="C4" s="148" t="inlineStr">
        <is>
          <t>Format / duration</t>
        </is>
      </c>
      <c r="D4" s="148" t="inlineStr">
        <is>
          <t>What gets covered</t>
        </is>
      </c>
      <c r="E4" s="148" t="inlineStr">
        <is>
          <t>Metrics tracked</t>
        </is>
      </c>
      <c r="F4" s="148" t="inlineStr">
        <is>
          <t>Source / template</t>
        </is>
      </c>
    </row>
    <row r="5" ht="75" customHeight="1" s="134">
      <c r="A5" s="164" t="inlineStr">
        <is>
          <t>DAILY (Adrian internal)</t>
        </is>
      </c>
      <c r="B5" s="151" t="inlineStr">
        <is>
          <t>Adrian solo</t>
        </is>
      </c>
      <c r="C5" s="151" t="inlineStr">
        <is>
          <t>5-min check</t>
        </is>
      </c>
      <c r="D5" s="151" t="inlineStr">
        <is>
          <t>Asana morning routine (existing). Capacity check. Today priorities (1-3 core).</t>
        </is>
      </c>
      <c r="E5" s="151" t="inlineStr">
        <is>
          <t>Throughput on Action-Ready items. Anything that needs ping vs comment.</t>
        </is>
      </c>
      <c r="F5" s="151" t="inlineStr">
        <is>
          <t>Living context task GID 1215107467474645</t>
        </is>
      </c>
    </row>
    <row r="6" ht="75" customHeight="1" s="134">
      <c r="A6" s="164" t="inlineStr">
        <is>
          <t>WEEKLY (Adrian-Zibi)</t>
        </is>
      </c>
      <c r="B6" s="151" t="inlineStr">
        <is>
          <t>Adrian + Zibi</t>
        </is>
      </c>
      <c r="C6" s="151" t="inlineStr">
        <is>
          <t>30-min Friday</t>
        </is>
      </c>
      <c r="D6" s="151" t="inlineStr">
        <is>
          <t>Action-Ready progress: items completed, items in-flight, blockers. Tracking fix status. Weekly metrics: spend by platform, leads by platform, CPL trends. Risk register changes.</t>
        </is>
      </c>
      <c r="E6" s="151" t="inlineStr">
        <is>
          <t>Spend, leads, CPL by platform per market. Action-Ready closed this week. New blockers. Re-baseline checkpoint when due.</t>
        </is>
      </c>
      <c r="F6" s="151" t="inlineStr">
        <is>
          <t>Adrian sends 24h-ahead summary</t>
        </is>
      </c>
    </row>
    <row r="7" ht="75" customHeight="1" s="134">
      <c r="A7" s="164" t="inlineStr">
        <is>
          <t>MONTHLY (Sebastian visibility)</t>
        </is>
      </c>
      <c r="B7" s="151" t="inlineStr">
        <is>
          <t>Adrian → Sebastian (via Zibi)</t>
        </is>
      </c>
      <c r="C7" s="151" t="inlineStr">
        <is>
          <t>1-pager email + optional 15-min call</t>
        </is>
      </c>
      <c r="D7" s="151" t="inlineStr">
        <is>
          <t>Top-3 wins. Top-3 risks. Spend vs forecast. Lead generation vs target. Anything Sebastian needs to flag to exec team. Lead Gen Form replication progress.</t>
        </is>
      </c>
      <c r="E7" s="151" t="inlineStr">
        <is>
          <t>MQL volume, SQL volume, MQL-to-SQL conversion. Spend efficiency. Brand defence health (UK).</t>
        </is>
      </c>
      <c r="F7" s="151" t="inlineStr">
        <is>
          <t>CMO Briefing template (this workbook)</t>
        </is>
      </c>
    </row>
    <row r="8" ht="75" customHeight="1" s="134">
      <c r="A8" s="164" t="inlineStr">
        <is>
          <t>QUARTERLY (Strategy)</t>
        </is>
      </c>
      <c r="B8" s="151" t="inlineStr">
        <is>
          <t>Adrian + Zibi + Sebastian</t>
        </is>
      </c>
      <c r="C8" s="151" t="inlineStr">
        <is>
          <t>60-min strategy review</t>
        </is>
      </c>
      <c r="D8" s="151" t="inlineStr">
        <is>
          <t>Full audit re-baseline. Product-Market Map review. Channel mix decision (Google/LinkedIn/Microsoft/Meta % allocation). Next quarter plan. Contractor access governance review.</t>
        </is>
      </c>
      <c r="E8" s="151" t="inlineStr">
        <is>
          <t>Quarterly business outcomes: pipeline contribution, ARR generated, CAC by market, payback period.</t>
        </is>
      </c>
      <c r="F8" s="151" t="inlineStr">
        <is>
          <t>Updated master sheet + competitive intelligence refresh</t>
        </is>
      </c>
    </row>
    <row r="9" ht="75" customHeight="1" s="134">
      <c r="A9" s="164" t="inlineStr">
        <is>
          <t>AD-HOC (Andy / RevOps)</t>
        </is>
      </c>
      <c r="B9" s="151" t="inlineStr">
        <is>
          <t>Adrian → Andy</t>
        </is>
      </c>
      <c r="C9" s="151" t="inlineStr">
        <is>
          <t>Every 3 days until tracking fixed</t>
        </is>
      </c>
      <c r="D9" s="151" t="inlineStr">
        <is>
          <t>conversion-signal fix status. Lead MQL + Lead SQL custom event firing status. Cross-channel attribution verification. Test event firing on each platform.</t>
        </is>
      </c>
      <c r="E9" s="151" t="inlineStr">
        <is>
          <t>Tag deployment health. Event firing volume. Conversion goal accuracy. Re-baseline 30d post-fix.</t>
        </is>
      </c>
      <c r="F9" s="151" t="inlineStr">
        <is>
          <t>Tracking &amp; Attribution tab</t>
        </is>
      </c>
    </row>
    <row r="10" ht="75" customHeight="1" s="134">
      <c r="A10" s="164" t="inlineStr">
        <is>
          <t>AD-HOC (Market GMMs)</t>
        </is>
      </c>
      <c r="B10" s="151" t="inlineStr">
        <is>
          <t>Adrian ↔ Ash / Gema / Alexia</t>
        </is>
      </c>
      <c r="C10" s="151" t="inlineStr">
        <is>
          <t>As needed, max 2 pings/person/week</t>
        </is>
      </c>
      <c r="D10" s="151" t="inlineStr">
        <is>
          <t>Per-market context: Lead Gen Form briefs, creative approvals, audience definition, market-specific blockers. Not metrics review (that goes through Zibi).</t>
        </is>
      </c>
      <c r="E10" s="151" t="inlineStr">
        <is>
          <t>Lead volume per market. Form conversion rate. Audience size + match rate.</t>
        </is>
      </c>
      <c r="F10" s="151" t="inlineStr">
        <is>
          <t>Direct Asana comments + paid media Teams chats</t>
        </is>
      </c>
    </row>
    <row r="11"/>
    <row r="12" ht="21.75" customHeight="1" s="134">
      <c r="A12" s="178" t="inlineStr">
        <is>
          <t>KPI CATALOG — what gets measured at which cadence</t>
        </is>
      </c>
    </row>
    <row r="13" ht="34.5" customHeight="1" s="134">
      <c r="A13" s="148" t="inlineStr">
        <is>
          <t>KPI</t>
        </is>
      </c>
      <c r="B13" s="148" t="inlineStr">
        <is>
          <t>Definition</t>
        </is>
      </c>
      <c r="C13" s="148" t="inlineStr">
        <is>
          <t>Source</t>
        </is>
      </c>
      <c r="D13" s="148" t="inlineStr">
        <is>
          <t>Daily</t>
        </is>
      </c>
      <c r="E13" s="148" t="inlineStr">
        <is>
          <t>Weekly</t>
        </is>
      </c>
      <c r="F13" s="148" t="inlineStr">
        <is>
          <t>Monthly / Quarterly</t>
        </is>
      </c>
    </row>
    <row r="14" ht="34.5" customHeight="1" s="134">
      <c r="A14" s="175" t="inlineStr">
        <is>
          <t>Spend by platform</t>
        </is>
      </c>
      <c r="B14" s="175" t="inlineStr">
        <is>
          <t>Total €/€/€ on Google + LinkedIn + Microsoft (+ Meta when active) per market</t>
        </is>
      </c>
      <c r="C14" s="175" t="inlineStr">
        <is>
          <t>Platform UIs + HubSpot Ads tab</t>
        </is>
      </c>
      <c r="D14" s="179" t="inlineStr">
        <is>
          <t>—</t>
        </is>
      </c>
      <c r="E14" s="179" t="inlineStr">
        <is>
          <t>YES</t>
        </is>
      </c>
      <c r="F14" s="179" t="inlineStr">
        <is>
          <t>YES</t>
        </is>
      </c>
    </row>
    <row r="15" ht="34.5" customHeight="1" s="134">
      <c r="A15" s="175" t="inlineStr">
        <is>
          <t>Leads generated</t>
        </is>
      </c>
      <c r="B15" s="175" t="inlineStr">
        <is>
          <t>Form submissions + Lead Gen Form submits + organic-attributed</t>
        </is>
      </c>
      <c r="C15" s="175" t="inlineStr">
        <is>
          <t>HubSpot Marketing Analytics</t>
        </is>
      </c>
      <c r="D15" s="179" t="inlineStr">
        <is>
          <t>—</t>
        </is>
      </c>
      <c r="E15" s="179" t="inlineStr">
        <is>
          <t>YES</t>
        </is>
      </c>
      <c r="F15" s="179" t="inlineStr">
        <is>
          <t>YES</t>
        </is>
      </c>
    </row>
    <row r="16" ht="34.5" customHeight="1" s="134">
      <c r="A16" s="175" t="inlineStr">
        <is>
          <t>CPL (cost per lead)</t>
        </is>
      </c>
      <c r="B16" s="175" t="inlineStr">
        <is>
          <t>Total spend / leads attributed to paid</t>
        </is>
      </c>
      <c r="C16" s="175" t="inlineStr">
        <is>
          <t>HubSpot + platform spend</t>
        </is>
      </c>
      <c r="D16" s="179" t="inlineStr">
        <is>
          <t>—</t>
        </is>
      </c>
      <c r="E16" s="179" t="inlineStr">
        <is>
          <t>YES</t>
        </is>
      </c>
      <c r="F16" s="179" t="inlineStr">
        <is>
          <t>YES</t>
        </is>
      </c>
    </row>
    <row r="17" ht="34.5" customHeight="1" s="134">
      <c r="A17" s="175" t="inlineStr">
        <is>
          <t>MQL volume</t>
        </is>
      </c>
      <c r="B17" s="175" t="inlineStr">
        <is>
          <t>Marketing Qualified Leads (post-Lead-Scoring threshold)</t>
        </is>
      </c>
      <c r="C17" s="175" t="inlineStr">
        <is>
          <t>HubSpot Lead Scoring + lifecycle stage</t>
        </is>
      </c>
      <c r="D17" s="179" t="inlineStr">
        <is>
          <t>—</t>
        </is>
      </c>
      <c r="E17" s="179" t="inlineStr">
        <is>
          <t>YES</t>
        </is>
      </c>
      <c r="F17" s="179" t="inlineStr">
        <is>
          <t>YES</t>
        </is>
      </c>
    </row>
    <row r="18" ht="34.5" customHeight="1" s="134">
      <c r="A18" s="175" t="inlineStr">
        <is>
          <t>SQL volume</t>
        </is>
      </c>
      <c r="B18" s="175" t="inlineStr">
        <is>
          <t>Sales Qualified Leads (handed to sales)</t>
        </is>
      </c>
      <c r="C18" s="175" t="inlineStr">
        <is>
          <t>HubSpot lifecycle stage</t>
        </is>
      </c>
      <c r="D18" s="179" t="inlineStr">
        <is>
          <t>—</t>
        </is>
      </c>
      <c r="E18" s="179" t="inlineStr">
        <is>
          <t>—</t>
        </is>
      </c>
      <c r="F18" s="179" t="inlineStr">
        <is>
          <t>YES</t>
        </is>
      </c>
    </row>
    <row r="19" ht="34.5" customHeight="1" s="134">
      <c r="A19" s="175" t="inlineStr">
        <is>
          <t>MQL-to-SQL conversion %</t>
        </is>
      </c>
      <c r="B19" s="175" t="inlineStr">
        <is>
          <t>SQLs / MQLs in trailing 30 days</t>
        </is>
      </c>
      <c r="C19" s="175" t="inlineStr">
        <is>
          <t>HubSpot funnel report</t>
        </is>
      </c>
      <c r="D19" s="179" t="inlineStr">
        <is>
          <t>—</t>
        </is>
      </c>
      <c r="E19" s="179" t="inlineStr">
        <is>
          <t>—</t>
        </is>
      </c>
      <c r="F19" s="179" t="inlineStr">
        <is>
          <t>YES</t>
        </is>
      </c>
    </row>
    <row r="20" ht="34.5" customHeight="1" s="134">
      <c r="A20" s="175" t="inlineStr">
        <is>
          <t>Branded search IS (UK)</t>
        </is>
      </c>
      <c r="B20" s="175" t="inlineStr">
        <is>
          <t>Impression Share on Mapal-brand keywords UK Google + Microsoft</t>
        </is>
      </c>
      <c r="C20" s="175" t="inlineStr">
        <is>
          <t>Google Ads + Microsoft Ads auction insights</t>
        </is>
      </c>
      <c r="D20" s="179" t="inlineStr">
        <is>
          <t>—</t>
        </is>
      </c>
      <c r="E20" s="179" t="inlineStr">
        <is>
          <t>YES</t>
        </is>
      </c>
      <c r="F20" s="179" t="inlineStr">
        <is>
          <t>YES</t>
        </is>
      </c>
    </row>
    <row r="21" ht="34.5" customHeight="1" s="134">
      <c r="A21" s="175" t="inlineStr">
        <is>
          <t>Competitor share-of-voice</t>
        </is>
      </c>
      <c r="B21" s="175" t="inlineStr">
        <is>
          <t>% of branded auctions where Lightspeed/Cloudbeds/etc. appear</t>
        </is>
      </c>
      <c r="C21" s="175" t="inlineStr">
        <is>
          <t>Google Ads auction insights</t>
        </is>
      </c>
      <c r="D21" s="179" t="inlineStr">
        <is>
          <t>—</t>
        </is>
      </c>
      <c r="E21" s="179" t="inlineStr">
        <is>
          <t>—</t>
        </is>
      </c>
      <c r="F21" s="179" t="inlineStr">
        <is>
          <t>YES</t>
        </is>
      </c>
    </row>
    <row r="22" ht="34.5" customHeight="1" s="134">
      <c r="A22" s="175" t="inlineStr">
        <is>
          <t>Closed Won deals attributed to paid</t>
        </is>
      </c>
      <c r="B22" s="175" t="inlineStr">
        <is>
          <t>Deals Closed-Won where Original Source = Paid Search / Paid Social</t>
        </is>
      </c>
      <c r="C22" s="175" t="inlineStr">
        <is>
          <t>HubSpot deals report</t>
        </is>
      </c>
      <c r="D22" s="179" t="inlineStr">
        <is>
          <t>—</t>
        </is>
      </c>
      <c r="E22" s="179" t="inlineStr">
        <is>
          <t>—</t>
        </is>
      </c>
      <c r="F22" s="179" t="inlineStr">
        <is>
          <t>YES</t>
        </is>
      </c>
    </row>
    <row r="23" ht="34.5" customHeight="1" s="134">
      <c r="A23" s="175" t="inlineStr">
        <is>
          <t>ROAS (revenue per €1 ad spend)</t>
        </is>
      </c>
      <c r="B23" s="175" t="inlineStr">
        <is>
          <t>Closed Won Amount / Channel spend</t>
        </is>
      </c>
      <c r="C23" s="175" t="inlineStr">
        <is>
          <t>HubSpot + platform spend</t>
        </is>
      </c>
      <c r="D23" s="179" t="inlineStr">
        <is>
          <t>—</t>
        </is>
      </c>
      <c r="E23" s="179" t="inlineStr">
        <is>
          <t>—</t>
        </is>
      </c>
      <c r="F23" s="179" t="inlineStr">
        <is>
          <t>YES</t>
        </is>
      </c>
    </row>
    <row r="24" ht="34.5" customHeight="1" s="134">
      <c r="A24" s="175" t="inlineStr">
        <is>
          <t>CAC (cost per customer acquired)</t>
        </is>
      </c>
      <c r="B24" s="175" t="inlineStr">
        <is>
          <t>Channel spend / Closed Won deals</t>
        </is>
      </c>
      <c r="C24" s="175" t="inlineStr">
        <is>
          <t>HubSpot + platform spend</t>
        </is>
      </c>
      <c r="D24" s="179" t="inlineStr">
        <is>
          <t>—</t>
        </is>
      </c>
      <c r="E24" s="179" t="inlineStr">
        <is>
          <t>—</t>
        </is>
      </c>
      <c r="F24" s="179" t="inlineStr">
        <is>
          <t>YES</t>
        </is>
      </c>
    </row>
    <row r="25" ht="34.5" customHeight="1" s="134">
      <c r="A25" s="175" t="inlineStr">
        <is>
          <t>Form conversion rate</t>
        </is>
      </c>
      <c r="B25" s="175" t="inlineStr">
        <is>
          <t>Submits / form views per form</t>
        </is>
      </c>
      <c r="C25" s="175" t="inlineStr">
        <is>
          <t>HubSpot Forms analytics</t>
        </is>
      </c>
      <c r="D25" s="179" t="inlineStr">
        <is>
          <t>—</t>
        </is>
      </c>
      <c r="E25" s="179" t="inlineStr">
        <is>
          <t>—</t>
        </is>
      </c>
      <c r="F25" s="179" t="inlineStr">
        <is>
          <t>YES</t>
        </is>
      </c>
    </row>
    <row r="26" ht="34.5" customHeight="1" s="134">
      <c r="A26" s="175" t="inlineStr">
        <is>
          <t>Lead Gen Form CPL per market</t>
        </is>
      </c>
      <c r="B26" s="175" t="inlineStr">
        <is>
          <t>LinkedIn LGF spend / leads per LGF per market</t>
        </is>
      </c>
      <c r="C26" s="175" t="inlineStr">
        <is>
          <t>LinkedIn Campaign Manager</t>
        </is>
      </c>
      <c r="D26" s="179" t="inlineStr">
        <is>
          <t>—</t>
        </is>
      </c>
      <c r="E26" s="179" t="inlineStr">
        <is>
          <t>YES</t>
        </is>
      </c>
      <c r="F26" s="179" t="inlineStr">
        <is>
          <t>YES</t>
        </is>
      </c>
    </row>
    <row r="27" ht="34.5" customHeight="1" s="134">
      <c r="A27" s="175" t="inlineStr">
        <is>
          <t>Bid strategy migration progress</t>
        </is>
      </c>
      <c r="B27" s="175" t="inlineStr">
        <is>
          <t>% of top-10-spend campaigns on Max Conv / tCPA vs Max Clicks per market</t>
        </is>
      </c>
      <c r="C27" s="175" t="inlineStr">
        <is>
          <t>Platform UIs</t>
        </is>
      </c>
      <c r="D27" s="179" t="inlineStr">
        <is>
          <t>—</t>
        </is>
      </c>
      <c r="E27" s="179" t="inlineStr">
        <is>
          <t>YES</t>
        </is>
      </c>
      <c r="F27" s="179" t="inlineStr">
        <is>
          <t>—</t>
        </is>
      </c>
    </row>
    <row r="28" ht="34.5" customHeight="1" s="134">
      <c r="A28" s="175" t="inlineStr">
        <is>
          <t>Re-baseline waste delta</t>
        </is>
      </c>
      <c r="B28" s="175" t="inlineStr">
        <is>
          <t>30d post-tracking-fix: actual waste vs €67,410 audit projection</t>
        </is>
      </c>
      <c r="C28" s="175" t="inlineStr">
        <is>
          <t>Master sheet update</t>
        </is>
      </c>
      <c r="D28" s="179" t="inlineStr">
        <is>
          <t>—</t>
        </is>
      </c>
      <c r="E28" s="179" t="inlineStr">
        <is>
          <t>—</t>
        </is>
      </c>
      <c r="F28" s="179" t="inlineStr">
        <is>
          <t>Once</t>
        </is>
      </c>
    </row>
    <row r="29" ht="15.75" customHeight="1" s="134"/>
    <row r="30" ht="15.75" customHeight="1" s="134">
      <c r="A30" s="178" t="inlineStr">
        <is>
          <t>EXPANSION KPIs (cross-sell + up-sell, Q3+)</t>
        </is>
      </c>
    </row>
    <row r="31" ht="15.75" customHeight="1" s="134">
      <c r="A31" s="148" t="inlineStr">
        <is>
          <t>KPI</t>
        </is>
      </c>
      <c r="B31" s="148" t="inlineStr">
        <is>
          <t>Definition</t>
        </is>
      </c>
      <c r="C31" s="148" t="inlineStr">
        <is>
          <t>Source</t>
        </is>
      </c>
      <c r="D31" s="148" t="inlineStr">
        <is>
          <t>Daily</t>
        </is>
      </c>
      <c r="E31" s="148" t="inlineStr">
        <is>
          <t>Weekly</t>
        </is>
      </c>
      <c r="F31" s="148" t="inlineStr">
        <is>
          <t>Monthly / Quarterly</t>
        </is>
      </c>
    </row>
    <row r="32" ht="15.75" customHeight="1" s="134">
      <c r="A32" s="175" t="inlineStr">
        <is>
          <t>Expansion revenue / NRR</t>
        </is>
      </c>
      <c r="B32" s="175" t="inlineStr">
        <is>
          <t>Net revenue retention and expansion ARR from existing customers</t>
        </is>
      </c>
      <c r="C32" s="175" t="inlineStr">
        <is>
          <t>HubSpot + Dynamics + CS</t>
        </is>
      </c>
      <c r="D32" s="179" t="inlineStr">
        <is>
          <t>-</t>
        </is>
      </c>
      <c r="E32" s="179" t="inlineStr">
        <is>
          <t>-</t>
        </is>
      </c>
      <c r="F32" s="179" t="inlineStr">
        <is>
          <t>YES</t>
        </is>
      </c>
    </row>
    <row r="33" ht="15.75" customHeight="1" s="134">
      <c r="A33" s="175" t="inlineStr">
        <is>
          <t>Cross-sell rate</t>
        </is>
      </c>
      <c r="B33" s="175" t="inlineStr">
        <is>
          <t>Share of customers using 2+ modules, and movement over time</t>
        </is>
      </c>
      <c r="C33" s="175" t="inlineStr">
        <is>
          <t>Product usage data + CRM</t>
        </is>
      </c>
      <c r="D33" s="179" t="inlineStr">
        <is>
          <t>-</t>
        </is>
      </c>
      <c r="E33" s="179" t="inlineStr">
        <is>
          <t>-</t>
        </is>
      </c>
      <c r="F33" s="179" t="inlineStr">
        <is>
          <t>YES</t>
        </is>
      </c>
    </row>
    <row r="34" ht="15.75" customHeight="1" s="134">
      <c r="A34" s="175" t="inlineStr">
        <is>
          <t>Estate roll-out / seat expansion</t>
        </is>
      </c>
      <c r="B34" s="175" t="inlineStr">
        <is>
          <t>New sites and seats added within existing accounts</t>
        </is>
      </c>
      <c r="C34" s="175" t="inlineStr">
        <is>
          <t>Product usage data + CRM</t>
        </is>
      </c>
      <c r="D34" s="179" t="inlineStr">
        <is>
          <t>-</t>
        </is>
      </c>
      <c r="E34" s="179" t="inlineStr">
        <is>
          <t>-</t>
        </is>
      </c>
      <c r="F34" s="179" t="inlineStr">
        <is>
          <t>YES</t>
        </is>
      </c>
    </row>
    <row r="35" ht="15.75" customHeight="1" s="134">
      <c r="A35" s="175" t="inlineStr">
        <is>
          <t>Renewal uplift</t>
        </is>
      </c>
      <c r="B35" s="175" t="inlineStr">
        <is>
          <t>Average contract value change at renewal vs prior term</t>
        </is>
      </c>
      <c r="C35" s="175" t="inlineStr">
        <is>
          <t>CRM + finance</t>
        </is>
      </c>
      <c r="D35" s="179" t="inlineStr">
        <is>
          <t>-</t>
        </is>
      </c>
      <c r="E35" s="179" t="inlineStr">
        <is>
          <t>-</t>
        </is>
      </c>
      <c r="F35" s="179" t="inlineStr">
        <is>
          <t>YES</t>
        </is>
      </c>
    </row>
    <row r="36" ht="15.75" customHeight="1" s="134">
      <c r="A36" s="175" t="inlineStr">
        <is>
          <t>Marketing-influenced expansion opps</t>
        </is>
      </c>
      <c r="B36" s="175" t="inlineStr">
        <is>
          <t>Expansion opportunities created from customer nurture and paid</t>
        </is>
      </c>
      <c r="C36" s="175" t="inlineStr">
        <is>
          <t>HubSpot</t>
        </is>
      </c>
      <c r="D36" s="179" t="inlineStr">
        <is>
          <t>-</t>
        </is>
      </c>
      <c r="E36" s="179" t="inlineStr">
        <is>
          <t>-</t>
        </is>
      </c>
      <c r="F36" s="179" t="inlineStr">
        <is>
          <t>YES</t>
        </is>
      </c>
    </row>
    <row r="37" ht="15.75" customHeight="1" s="134">
      <c r="A37" s="175" t="inlineStr">
        <is>
          <t>Owned-module adoption health</t>
        </is>
      </c>
      <c r="B37" s="175" t="inlineStr">
        <is>
          <t>Adoption of modules already bought (leading indicator; non-adopters can't expand)</t>
        </is>
      </c>
      <c r="C37" s="175" t="inlineStr">
        <is>
          <t>Product usage + CS health score</t>
        </is>
      </c>
      <c r="D37" s="179" t="inlineStr">
        <is>
          <t>-</t>
        </is>
      </c>
      <c r="E37" s="179" t="inlineStr">
        <is>
          <t>YES</t>
        </is>
      </c>
      <c r="F37" s="179" t="inlineStr">
        <is>
          <t>YES</t>
        </is>
      </c>
    </row>
    <row r="38" ht="15.75" customHeight="1" s="134"/>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mergeCells count="3">
    <mergeCell ref="A2:F2"/>
    <mergeCell ref="A1:F1"/>
    <mergeCell ref="A12:F12"/>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H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4" customWidth="1" style="133" min="1" max="1"/>
    <col width="15" customWidth="1" style="133" min="2" max="2"/>
    <col width="38" customWidth="1" style="133" min="3" max="3"/>
    <col width="11" customWidth="1" style="133" min="4" max="5"/>
    <col width="38" customWidth="1" style="133" min="6" max="6"/>
    <col width="14" customWidth="1" style="133" min="7" max="7"/>
    <col width="30" customWidth="1" style="133" min="8" max="8"/>
    <col width="8.710000000000001" customWidth="1" style="133" min="9" max="26"/>
  </cols>
  <sheetData>
    <row r="1" ht="18" customHeight="1" s="134">
      <c r="A1" s="146" t="inlineStr">
        <is>
          <t>RISK REGISTER — what could go wrong, with mitigations</t>
        </is>
      </c>
    </row>
    <row r="2" ht="15" customHeight="1" s="134">
      <c r="A2" s="155" t="inlineStr">
        <is>
          <t>Live document. Update probability + status as situation evolves. Bring to weekly Adrian-Zibi review.</t>
        </is>
      </c>
    </row>
    <row r="3"/>
    <row r="4" ht="34.5" customHeight="1" s="134">
      <c r="A4" s="148" t="inlineStr">
        <is>
          <t>#</t>
        </is>
      </c>
      <c r="B4" s="148" t="inlineStr">
        <is>
          <t>Category</t>
        </is>
      </c>
      <c r="C4" s="148" t="inlineStr">
        <is>
          <t>Risk</t>
        </is>
      </c>
      <c r="D4" s="148" t="inlineStr">
        <is>
          <t>Probability</t>
        </is>
      </c>
      <c r="E4" s="148" t="inlineStr">
        <is>
          <t>Impact</t>
        </is>
      </c>
      <c r="F4" s="148" t="inlineStr">
        <is>
          <t>Mitigation in place</t>
        </is>
      </c>
      <c r="G4" s="148" t="inlineStr">
        <is>
          <t>Owner</t>
        </is>
      </c>
      <c r="H4" s="148" t="inlineStr">
        <is>
          <t>Trigger / contingency</t>
        </is>
      </c>
    </row>
    <row r="5" ht="94.5" customHeight="1" s="134">
      <c r="A5" s="149" t="n">
        <v>1</v>
      </c>
      <c r="B5" s="149" t="inlineStr">
        <is>
          <t>Technical</t>
        </is>
      </c>
      <c r="C5" s="151" t="inlineStr">
        <is>
          <t>conversion-signal fix takes longer than 2 weeks. Mid-June nurture launch slips. ES + UK + FR bidding strategy maturation stays blocked.</t>
        </is>
      </c>
      <c r="D5" s="180" t="inlineStr">
        <is>
          <t>MEDIUM</t>
        </is>
      </c>
      <c r="E5" s="181" t="inlineStr">
        <is>
          <t>CRITICAL</t>
        </is>
      </c>
      <c r="F5" s="151" t="inlineStr">
        <is>
          <t>Andy/RevOps formally pinged. Status check Friday with Zibi. Re-ping every 3 days.</t>
        </is>
      </c>
      <c r="G5" s="149" t="inlineStr">
        <is>
          <t>Adrian + Andy</t>
        </is>
      </c>
      <c r="H5" s="151" t="inlineStr">
        <is>
          <t>If not fixed by 9 June: escalate to Zibi for resource reallocation. Plan B: ship Lead Gen Form approach in parallel using LinkedIn-native tracking only.</t>
        </is>
      </c>
    </row>
    <row r="6" ht="94.5" customHeight="1" s="134">
      <c r="A6" s="149" t="n">
        <v>2</v>
      </c>
      <c r="B6" s="149" t="inlineStr">
        <is>
          <t>Technical</t>
        </is>
      </c>
      <c r="C6" s="151" t="inlineStr">
        <is>
          <t>Contractor (Lukas/Javier/Fabrice/TCE-ClickBoost) had access we have not discovered (HubSpot admin, GA4 properties, other ad accounts, internal tooling).</t>
        </is>
      </c>
      <c r="D6" s="180" t="inlineStr">
        <is>
          <t>MEDIUM</t>
        </is>
      </c>
      <c r="E6" s="182" t="inlineStr">
        <is>
          <t>HIGH</t>
        </is>
      </c>
      <c r="F6" s="151" t="inlineStr">
        <is>
          <t>Microsoft + Google Ads access review complete. Pending: HubSpot user audit (Wed onwards), GA4 user audit.</t>
        </is>
      </c>
      <c r="G6" s="149" t="inlineStr">
        <is>
          <t>Adrian + Zibi</t>
        </is>
      </c>
      <c r="H6" s="151" t="inlineStr">
        <is>
          <t>If discovered: add to revocation pass immediately. Add quarterly access review to ongoing cadence.</t>
        </is>
      </c>
    </row>
    <row r="7" ht="94.5" customHeight="1" s="134">
      <c r="A7" s="149" t="n">
        <v>3</v>
      </c>
      <c r="B7" s="149" t="inlineStr">
        <is>
          <t>Technical</t>
        </is>
      </c>
      <c r="C7" s="151" t="inlineStr">
        <is>
          <t>Removing 18 Removed FR conversions from "in goals" before setting up replacement primary signals = FR Smart Bidding loses ALL signal during the cleanup gap.</t>
        </is>
      </c>
      <c r="D7" s="181" t="inlineStr">
        <is>
          <t>HIGH</t>
        </is>
      </c>
      <c r="E7" s="182" t="inlineStr">
        <is>
          <t>HIGH</t>
        </is>
      </c>
      <c r="F7" s="151" t="inlineStr">
        <is>
          <t>Sequencing addressed in PME notes column on Action-Ready. Order: (1) confirm Active Primary replacements exist, (2) THEN remove Removed-from-goals one at a time, (3) monitor bid behavior.</t>
        </is>
      </c>
      <c r="G7" s="149" t="inlineStr">
        <is>
          <t>Adrian</t>
        </is>
      </c>
      <c r="H7" s="151" t="inlineStr">
        <is>
          <t>If campaigns drop performance during cleanup: pause cleanup, restore last conversion state, escalate to Andy.</t>
        </is>
      </c>
    </row>
    <row r="8" ht="94.5" customHeight="1" s="134">
      <c r="A8" s="149" t="n">
        <v>4</v>
      </c>
      <c r="B8" s="149" t="inlineStr">
        <is>
          <t>Strategic</t>
        </is>
      </c>
      <c r="C8" s="151" t="inlineStr">
        <is>
          <t>Sebastian challenges ABM kill rationale Friday. Wants narrow Top-100 ABM continued. Adrian forced to defend.</t>
        </is>
      </c>
      <c r="D8" s="180" t="inlineStr">
        <is>
          <t>MEDIUM</t>
        </is>
      </c>
      <c r="E8" s="182" t="inlineStr">
        <is>
          <t>HIGH</t>
        </is>
      </c>
      <c r="F8" s="151" t="inlineStr">
        <is>
          <t>ABM Triage tab Defence Playbook has 5 pre-written responses with audit data. FR Fab Lead Form controlled experiment is the strongest evidence. Sebastian own "wider audience pivot" quote is preserved.</t>
        </is>
      </c>
      <c r="G8" s="149" t="inlineStr">
        <is>
          <t>Adrian</t>
        </is>
      </c>
      <c r="H8" s="151" t="inlineStr">
        <is>
          <t>If Sebastian insists: implement compromise (one narrow ABM as control, one broader as test, run both 60 days, decide on data).</t>
        </is>
      </c>
    </row>
    <row r="9" ht="94.5" customHeight="1" s="134">
      <c r="A9" s="149" t="n">
        <v>5</v>
      </c>
      <c r="B9" s="149" t="inlineStr">
        <is>
          <t>Strategic</t>
        </is>
      </c>
      <c r="C9" s="151" t="inlineStr">
        <is>
          <t>UK brand defence unpause triggers competitor response. Lightspeed / Cloudbeds / EposNow raise their brand-defence bids. UK CPC inflation.</t>
        </is>
      </c>
      <c r="D9" s="180" t="inlineStr">
        <is>
          <t>MEDIUM</t>
        </is>
      </c>
      <c r="E9" s="183" t="inlineStr">
        <is>
          <t>MEDIUM</t>
        </is>
      </c>
      <c r="F9" s="151" t="inlineStr">
        <is>
          <t>Lifetime €13.64 CPA / 162 conv baseline known. Start at small daily budget (€500-1000/mo). Monitor IS + CPC weekly.</t>
        </is>
      </c>
      <c r="G9" s="149" t="inlineStr">
        <is>
          <t>Adrian</t>
        </is>
      </c>
      <c r="H9" s="151" t="inlineStr">
        <is>
          <t>If CPC inflates &gt;50% in 30 days: review messaging differentiation strategy with Zibi. Consider PMax for brand instead of straight Search.</t>
        </is>
      </c>
    </row>
    <row r="10" ht="94.5" customHeight="1" s="134">
      <c r="A10" s="149" t="n">
        <v>6</v>
      </c>
      <c r="B10" s="149" t="inlineStr">
        <is>
          <t>Strategic</t>
        </is>
      </c>
      <c r="C10" s="151" t="inlineStr">
        <is>
          <t>FR Easilys Lead Gen Form replication to EN/ES fails (n=1 success in FR was lucky, not generalizable).</t>
        </is>
      </c>
      <c r="D10" s="180" t="inlineStr">
        <is>
          <t>MEDIUM</t>
        </is>
      </c>
      <c r="E10" s="183" t="inlineStr">
        <is>
          <t>MEDIUM</t>
        </is>
      </c>
      <c r="F10" s="151" t="inlineStr">
        <is>
          <t>Phased rollout: build EN first, run 30d, evaluate before building ES. UK Flow offer needs definition (not ebook?), ES Workforce offer needs definition.</t>
        </is>
      </c>
      <c r="G10" s="149" t="inlineStr">
        <is>
          <t>Adrian + Ash + Gema</t>
        </is>
      </c>
      <c r="H10" s="151" t="inlineStr">
        <is>
          <t>If EN fails to hit CPL &lt;€200 in 30d: rework offer + audience before launching ES.</t>
        </is>
      </c>
    </row>
    <row r="11" ht="94.5" customHeight="1" s="134">
      <c r="A11" s="149" t="n">
        <v>7</v>
      </c>
      <c r="B11" s="149" t="inlineStr">
        <is>
          <t>Operational</t>
        </is>
      </c>
      <c r="C11" s="151" t="inlineStr">
        <is>
          <t>Adrian is bus-factor 1. All audit knowledge concentrated in one person. Bus / illness / leaving = institutional memory loss.</t>
        </is>
      </c>
      <c r="D11" s="183" t="inlineStr">
        <is>
          <t>LOW</t>
        </is>
      </c>
      <c r="E11" s="181" t="inlineStr">
        <is>
          <t>CRITICAL</t>
        </is>
      </c>
      <c r="F11" s="151" t="inlineStr">
        <is>
          <t>Master sheet IS the institutional memory. Update routine task in Asana documents living context. Living Context task GID 1215107467474645 stays current.</t>
        </is>
      </c>
      <c r="G11" s="149" t="inlineStr">
        <is>
          <t>Zibi + Adrian</t>
        </is>
      </c>
      <c r="H11" s="151" t="inlineStr">
        <is>
          <t>Cross-train Denis on PPC basics. Document all custom processes in shared location. Backup analyst named.</t>
        </is>
      </c>
    </row>
    <row r="12" ht="94.5" customHeight="1" s="134">
      <c r="A12" s="149" t="n">
        <v>8</v>
      </c>
      <c r="B12" s="149" t="inlineStr">
        <is>
          <t>Operational</t>
        </is>
      </c>
      <c r="C12" s="151" t="inlineStr">
        <is>
          <t>55 actions across the audit. Adrian capacity 5-6h/day. Realistic completion 2-3 weeks. Slippage likely.</t>
        </is>
      </c>
      <c r="D12" s="181" t="inlineStr">
        <is>
          <t>HIGH</t>
        </is>
      </c>
      <c r="E12" s="183" t="inlineStr">
        <is>
          <t>MEDIUM</t>
        </is>
      </c>
      <c r="F12" s="151" t="inlineStr">
        <is>
          <t>Critical Path tab sequences work. Action-Ready confidence ratings prioritize. Weekly review with Zibi recalibrates.</t>
        </is>
      </c>
      <c r="G12" s="149" t="inlineStr">
        <is>
          <t>Adrian</t>
        </is>
      </c>
      <c r="H12" s="151" t="inlineStr">
        <is>
          <t>If falling behind: drop DEFERRED items. Keep READY + VERIFY in scope. ESCALATE items are Zibi-time, not Adrian-time.</t>
        </is>
      </c>
    </row>
    <row r="13" ht="94.5" customHeight="1" s="134">
      <c r="A13" s="149" t="n">
        <v>9</v>
      </c>
      <c r="B13" s="149" t="inlineStr">
        <is>
          <t>Operational</t>
        </is>
      </c>
      <c r="C13" s="151" t="inlineStr">
        <is>
          <t>Website-migration bandwidth. The conversion-signal fix (dataLayer + tag container) depends on the migration lead's time, not RevOps capacity.</t>
        </is>
      </c>
      <c r="D13" s="180" t="inlineStr">
        <is>
          <t>MEDIUM</t>
        </is>
      </c>
      <c r="E13" s="182" t="inlineStr">
        <is>
          <t>HIGH</t>
        </is>
      </c>
      <c r="F13" s="151" t="inlineStr">
        <is>
          <t>Formal ticket with priority justification. Zibi backing of priority. Cross-platform impact (3 platforms affected) makes case strong.</t>
        </is>
      </c>
      <c r="G13" s="149" t="inlineStr">
        <is>
          <t>Andy + Zibi</t>
        </is>
      </c>
      <c r="H13" s="151" t="inlineStr">
        <is>
          <t>If deprioritized: Adrian escalates to Sebastian via Zibi. Tag fix is the gate to multiple downstream value items.</t>
        </is>
      </c>
    </row>
    <row r="14" ht="94.5" customHeight="1" s="134">
      <c r="A14" s="149" t="n">
        <v>10</v>
      </c>
      <c r="B14" s="149" t="inlineStr">
        <is>
          <t>Financial</t>
        </is>
      </c>
      <c r="C14" s="151" t="inlineStr">
        <is>
          <t>€35-55K savings projection misses on execution. Actual realized is lower.</t>
        </is>
      </c>
      <c r="D14" s="180" t="inlineStr">
        <is>
          <t>MEDIUM</t>
        </is>
      </c>
      <c r="E14" s="183" t="inlineStr">
        <is>
          <t>MEDIUM</t>
        </is>
      </c>
      <c r="F14" s="151" t="inlineStr">
        <is>
          <t>Conservative methodology with haircuts (HIGH × 0.85, MEDIUM × 0.55, LOW × 0.30). Re-baseline planned 30d post tracking fix.</t>
        </is>
      </c>
      <c r="G14" s="149" t="inlineStr">
        <is>
          <t>Adrian</t>
        </is>
      </c>
      <c r="H14" s="151" t="inlineStr">
        <is>
          <t>If realized &lt;€20K at Q3 review: review methodology, identify which items underperformed, adjust forward projections.</t>
        </is>
      </c>
    </row>
    <row r="15" ht="94.5" customHeight="1" s="134">
      <c r="A15" s="149" t="n">
        <v>11</v>
      </c>
      <c r="B15" s="149" t="inlineStr">
        <is>
          <t>Financial</t>
        </is>
      </c>
      <c r="C15" s="151" t="inlineStr">
        <is>
          <t>Reallocation of saved budget to UK brand defence + Lead Gen Forms costs more than projected. Net savings smaller than expected.</t>
        </is>
      </c>
      <c r="D15" s="180" t="inlineStr">
        <is>
          <t>MEDIUM</t>
        </is>
      </c>
      <c r="E15" s="184" t="inlineStr">
        <is>
          <t>LOW</t>
        </is>
      </c>
      <c r="F15" s="151" t="inlineStr">
        <is>
          <t>Net position math in Budget Impact: total realistic recovery €67,410, reallocation budget ~€1,300-€2,100/month = ~€15-25K/yr. Net still positive.</t>
        </is>
      </c>
      <c r="G15" s="149" t="inlineStr">
        <is>
          <t>Adrian</t>
        </is>
      </c>
      <c r="H15" s="151" t="inlineStr">
        <is>
          <t>If reallocation outpaces savings: pause new investment, validate ROAS before scaling further.</t>
        </is>
      </c>
    </row>
    <row r="16" ht="94.5" customHeight="1" s="134">
      <c r="A16" s="149" t="n">
        <v>12</v>
      </c>
      <c r="B16" s="149" t="inlineStr">
        <is>
          <t>Governance</t>
        </is>
      </c>
      <c r="C16" s="151" t="inlineStr">
        <is>
          <t>Quarterly access review does not happen ongoing. Contractor access creeps back.</t>
        </is>
      </c>
      <c r="D16" s="180" t="inlineStr">
        <is>
          <t>MEDIUM</t>
        </is>
      </c>
      <c r="E16" s="182" t="inlineStr">
        <is>
          <t>HIGH</t>
        </is>
      </c>
      <c r="F16" s="151" t="inlineStr">
        <is>
          <t>Quarterly review added to Reporting Cadence tab. Set Asana recurring task.</t>
        </is>
      </c>
      <c r="G16" s="149" t="inlineStr">
        <is>
          <t>Adrian + Zibi</t>
        </is>
      </c>
      <c r="H16" s="151" t="inlineStr">
        <is>
          <t>If quarterly review skipped 2x: escalate to Sebastian. SOC2 implication.</t>
        </is>
      </c>
    </row>
    <row r="17" ht="94.5" customHeight="1" s="134">
      <c r="A17" s="149" t="n">
        <v>13</v>
      </c>
      <c r="B17" s="149" t="inlineStr">
        <is>
          <t>Governance</t>
        </is>
      </c>
      <c r="C17" s="151" t="inlineStr">
        <is>
          <t>Recommendations Auto-Apply re-enables silently on Google Ads (Google reactivates on auto). Targeting expands without review.</t>
        </is>
      </c>
      <c r="D17" s="183" t="inlineStr">
        <is>
          <t>LOW</t>
        </is>
      </c>
      <c r="E17" s="183" t="inlineStr">
        <is>
          <t>MEDIUM</t>
        </is>
      </c>
      <c r="F17" s="151" t="inlineStr">
        <is>
          <t>Disable as part of Stage 1 actions. Verify in monthly review.</t>
        </is>
      </c>
      <c r="G17" s="149" t="inlineStr">
        <is>
          <t>Adrian</t>
        </is>
      </c>
      <c r="H17" s="151" t="inlineStr">
        <is>
          <t>If re-enabled: disable again. Add to monthly checklist.</t>
        </is>
      </c>
    </row>
    <row r="18" ht="94.5" customHeight="1" s="134">
      <c r="A18" s="149" t="n">
        <v>14</v>
      </c>
      <c r="B18" s="149" t="inlineStr">
        <is>
          <t>Brand</t>
        </is>
      </c>
      <c r="C18" s="151" t="inlineStr">
        <is>
          <t>UK brand pause 5+ months has already eroded brand recognition. Unpausing does not fully recover.</t>
        </is>
      </c>
      <c r="D18" s="183" t="inlineStr">
        <is>
          <t>LOW</t>
        </is>
      </c>
      <c r="E18" s="183" t="inlineStr">
        <is>
          <t>MEDIUM</t>
        </is>
      </c>
      <c r="F18" s="151" t="inlineStr">
        <is>
          <t>Baseline measurement when unpause: branded search volume, IS, conversion rate. Compare to historical.</t>
        </is>
      </c>
      <c r="G18" s="149" t="inlineStr">
        <is>
          <t>Adrian + Zibi</t>
        </is>
      </c>
      <c r="H18" s="151" t="inlineStr">
        <is>
          <t>If branded search volume not recovering: full brand health audit. Consider broader brand investment.</t>
        </is>
      </c>
    </row>
    <row r="19" ht="94.5" customHeight="1" s="134">
      <c r="A19" s="149" t="n">
        <v>15</v>
      </c>
      <c r="B19" s="149" t="inlineStr">
        <is>
          <t>Strategic</t>
        </is>
      </c>
      <c r="C19" s="151" t="inlineStr">
        <is>
          <t>Mid-June owner-role activation timing slips because tracking is not stable.</t>
        </is>
      </c>
      <c r="D19" s="180" t="inlineStr">
        <is>
          <t>MEDIUM</t>
        </is>
      </c>
      <c r="E19" s="183" t="inlineStr">
        <is>
          <t>MEDIUM</t>
        </is>
      </c>
      <c r="F19" s="151" t="inlineStr">
        <is>
          <t>Critical Path tab makes the dependency visible. Friday Zibi share is opportunity to confirm or adjust 15 June.</t>
        </is>
      </c>
      <c r="G19" s="149" t="inlineStr">
        <is>
          <t>Zibi + Adrian</t>
        </is>
      </c>
      <c r="H19" s="151" t="inlineStr">
        <is>
          <t>If tracking unstable at 15 June: activate owner role on a different scope (paid only, not paid+nurture). Add nurture when tracking stable.</t>
        </is>
      </c>
    </row>
    <row r="21" ht="15.75" customHeight="1" s="134"/>
    <row r="22" ht="15.75" customHeight="1" s="134"/>
    <row r="23" ht="15.75" customHeight="1" s="134"/>
    <row r="24" ht="15.75" customHeight="1" s="134"/>
    <row r="25" ht="15.75" customHeight="1" s="134"/>
    <row r="26" ht="15.75" customHeight="1" s="134"/>
    <row r="27" ht="15.75" customHeight="1" s="134"/>
    <row r="28" ht="15.75" customHeight="1" s="134"/>
    <row r="29" ht="15.75" customHeight="1" s="134"/>
    <row r="30" ht="15.75" customHeight="1" s="134"/>
    <row r="31" ht="15.75" customHeight="1" s="134"/>
    <row r="32" ht="15.75" customHeight="1" s="134"/>
    <row r="33" ht="15.75" customHeight="1" s="134"/>
    <row r="34" ht="15.75" customHeight="1" s="134"/>
    <row r="35" ht="15.75" customHeight="1" s="134"/>
    <row r="36" ht="15.75" customHeight="1" s="134"/>
    <row r="37" ht="15.75" customHeight="1" s="134"/>
    <row r="38" ht="15.75" customHeight="1" s="134"/>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mergeCells count="2">
    <mergeCell ref="A2:H2"/>
    <mergeCell ref="A1:H1"/>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H5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4" customWidth="1" style="133" min="1" max="1"/>
    <col width="30" customWidth="1" style="133" min="2" max="2"/>
    <col width="34.43" customWidth="1" style="133" min="3" max="3"/>
    <col width="14" customWidth="1" style="133" min="4" max="4"/>
    <col width="16" customWidth="1" style="133" min="5" max="5"/>
    <col width="18" customWidth="1" style="133" min="6" max="6"/>
    <col width="11" customWidth="1" style="133" min="7" max="7"/>
    <col width="30" customWidth="1" style="133" min="8" max="8"/>
    <col width="8.710000000000001" customWidth="1" style="133" min="9" max="26"/>
  </cols>
  <sheetData>
    <row r="1" ht="34.5" customHeight="1" s="134">
      <c r="A1" s="185" t="inlineStr">
        <is>
          <t>BUDGET IMPACT — Realistic Waste &amp; Savings Range (Conservative Methodology)</t>
        </is>
      </c>
    </row>
    <row r="2" ht="30" customHeight="1" s="134">
      <c r="A2" s="186" t="inlineStr">
        <is>
          <t>All figures pre-tracking-fix. Confidence haircuts applied. Re-baseline planned 30 days post Lead MQL/SQL restoration. See methodology section below.</t>
        </is>
      </c>
    </row>
    <row r="3" ht="21.75" customHeight="1" s="134"/>
    <row r="4" ht="24.75" customHeight="1" s="134">
      <c r="A4" s="187" t="inlineStr">
        <is>
          <t>COMMIT-PUBLICLY RANGE (the number to lead with externally)</t>
        </is>
      </c>
    </row>
    <row r="5" ht="45" customHeight="1" s="134">
      <c r="A5" s="188" t="inlineStr">
        <is>
          <t>Realistic 12-month net savings (HIGH + verified MEDIUM, post-haircut, conservative reallocation)</t>
        </is>
      </c>
      <c r="B5" s="189" t="n"/>
      <c r="C5" s="189" t="n"/>
      <c r="D5" s="190" t="n"/>
      <c r="E5" s="191" t="inlineStr">
        <is>
          <t>€35,000 — €55,000 / year</t>
        </is>
      </c>
      <c r="F5" s="190" t="n"/>
      <c r="G5" s="192" t="inlineStr">
        <is>
          <t>10% — 15% of estimated paid spend baseline. Defensible if challenged.</t>
        </is>
      </c>
      <c r="H5" s="190" t="n"/>
    </row>
    <row r="6" ht="37.5" customHeight="1" s="134">
      <c r="A6" s="193" t="inlineStr">
        <is>
          <t>Stretch 12-month (tracking fix delivered + Lead Gen Form scaling working in EN/ES)</t>
        </is>
      </c>
      <c r="B6" s="158" t="n"/>
      <c r="C6" s="158" t="n"/>
      <c r="D6" s="159" t="n"/>
      <c r="E6" s="194" t="inlineStr">
        <is>
          <t>€70,000 — €100,000 / year</t>
        </is>
      </c>
      <c r="F6" s="159" t="n"/>
      <c r="G6" s="195" t="inlineStr">
        <is>
          <t>Q4 outcome. Multiple dependencies. Mention only when stretch is requested.</t>
        </is>
      </c>
      <c r="H6" s="159" t="n"/>
    </row>
    <row r="7" ht="37.5" customHeight="1" s="134">
      <c r="A7" s="193" t="inlineStr">
        <is>
          <t>Conservative floor (HIGH-confidence only, deeper haircut, no reallocation gains)</t>
        </is>
      </c>
      <c r="B7" s="158" t="n"/>
      <c r="C7" s="158" t="n"/>
      <c r="D7" s="159" t="n"/>
      <c r="E7" s="196" t="inlineStr">
        <is>
          <t>€22,000 — €30,000 / year</t>
        </is>
      </c>
      <c r="F7" s="159" t="n"/>
      <c r="G7" s="195" t="inlineStr">
        <is>
          <t>Worst case. Use only if Sebastian/Sophie ask for the floor.</t>
        </is>
      </c>
      <c r="H7" s="159" t="n"/>
    </row>
    <row r="8" ht="7.5" customHeight="1" s="134"/>
    <row r="9" ht="24.75" customHeight="1" s="134">
      <c r="A9" s="187" t="inlineStr">
        <is>
          <t>ALREADY-BOOKED SAVINGS (no future debate — action taken or committed)</t>
        </is>
      </c>
    </row>
    <row r="10" ht="31.5" customHeight="1" s="134">
      <c r="A10" s="148" t="inlineStr">
        <is>
          <t>#</t>
        </is>
      </c>
      <c r="B10" s="148" t="inlineStr">
        <is>
          <t>Saving</t>
        </is>
      </c>
      <c r="C10" s="148" t="inlineStr">
        <is>
          <t>Platform</t>
        </is>
      </c>
      <c r="D10" s="148" t="inlineStr">
        <is>
          <t>90d actual spend stopped</t>
        </is>
      </c>
      <c r="E10" s="148" t="inlineStr">
        <is>
          <t>Forward run-rate prevented</t>
        </is>
      </c>
      <c r="F10" s="148" t="inlineStr">
        <is>
          <t>Date / Status</t>
        </is>
      </c>
      <c r="G10" s="158" t="n"/>
      <c r="H10" s="159" t="n"/>
    </row>
    <row r="11" ht="39.75" customHeight="1" s="134">
      <c r="A11" s="197" t="n">
        <v>1</v>
      </c>
      <c r="B11" s="198" t="inlineStr">
        <is>
          <t>LinkedIn ABM campaigns (FR Play-1 + ES + UK), 0 leads attributed in 90d</t>
        </is>
      </c>
      <c r="C11" s="197" t="inlineStr">
        <is>
          <t>LinkedIn / All 3</t>
        </is>
      </c>
      <c r="D11" s="199" t="n">
        <v>2216</v>
      </c>
      <c r="E11" s="200" t="n">
        <v>8993</v>
      </c>
      <c r="F11" s="198" t="inlineStr">
        <is>
          <t>Killed by Zibi 25-May. Forward run-rate prevented.</t>
        </is>
      </c>
      <c r="G11" s="158" t="n"/>
      <c r="H11" s="159" t="n"/>
    </row>
    <row r="12" ht="7.5" customHeight="1" s="134"/>
    <row r="13" ht="24.75" customHeight="1" s="134">
      <c r="A13" s="187" t="inlineStr">
        <is>
          <t>IDENTIFIED WASTE — STILL RUNNING (sorted by realistic annual recovery, conservative)</t>
        </is>
      </c>
    </row>
    <row r="14" ht="37.5" customHeight="1" s="134">
      <c r="A14" s="148" t="inlineStr">
        <is>
          <t>#</t>
        </is>
      </c>
      <c r="B14" s="148" t="inlineStr">
        <is>
          <t>Finding</t>
        </is>
      </c>
      <c r="C14" s="148" t="inlineStr">
        <is>
          <t>Platform</t>
        </is>
      </c>
      <c r="D14" s="148" t="inlineStr">
        <is>
          <t>90d actual waste</t>
        </is>
      </c>
      <c r="E14" s="148" t="inlineStr">
        <is>
          <t>12mo run-rate (if unchanged)</t>
        </is>
      </c>
      <c r="F14" s="148" t="inlineStr">
        <is>
          <t>Realistic 12mo recovery (post-haircut)</t>
        </is>
      </c>
      <c r="G14" s="148" t="inlineStr">
        <is>
          <t>Confidence</t>
        </is>
      </c>
      <c r="H14" s="148" t="inlineStr">
        <is>
          <t>Action</t>
        </is>
      </c>
    </row>
    <row r="15" ht="60" customHeight="1" s="134">
      <c r="A15" s="197" t="n">
        <v>1</v>
      </c>
      <c r="B15" s="198" t="inlineStr">
        <is>
          <t>Spain Workforce-ES Search MOBILE burn (90% of campaign budget, 0 conv vs €79 CPA desktop in same campaign)</t>
        </is>
      </c>
      <c r="C15" s="201" t="inlineStr">
        <is>
          <t>Google / Spain</t>
        </is>
      </c>
      <c r="D15" s="199" t="n">
        <v>6593</v>
      </c>
      <c r="E15" s="199" t="n">
        <v>26755</v>
      </c>
      <c r="F15" s="202" t="n">
        <v>22742</v>
      </c>
      <c r="G15" s="203" t="inlineStr">
        <is>
          <t>HIGH</t>
        </is>
      </c>
      <c r="H15" s="198" t="inlineStr">
        <is>
          <t>Pause mobile in Workforce-ES Search this week. Mobile/desktop split is unambiguous evidence (desktop converts, mobile does not = not attribution).</t>
        </is>
      </c>
    </row>
    <row r="16" ht="60" customHeight="1" s="134">
      <c r="A16" s="197" t="n">
        <v>2</v>
      </c>
      <c r="B16" s="198" t="inlineStr">
        <is>
          <t>France Google keyword waste (12 Easilys Scale duplicates + 52 KWs not aligned to Easilys flagship play)</t>
        </is>
      </c>
      <c r="C16" s="201" t="inlineStr">
        <is>
          <t>Google / France</t>
        </is>
      </c>
      <c r="D16" s="199" t="n">
        <v>9160</v>
      </c>
      <c r="E16" s="199" t="n">
        <v>37160</v>
      </c>
      <c r="F16" s="202" t="n">
        <v>20438</v>
      </c>
      <c r="G16" s="204" t="inlineStr">
        <is>
          <t>MEDIUM</t>
        </is>
      </c>
      <c r="H16" s="198" t="inlineStr">
        <is>
          <t>Consolidate Easilys variants. Add neg KW list. Realistic recovery ~55% after consolidation gains preserved.</t>
        </is>
      </c>
    </row>
    <row r="17" ht="60" customHeight="1" s="134">
      <c r="A17" s="197" t="n">
        <v>3</v>
      </c>
      <c r="B17" s="198" t="inlineStr">
        <is>
          <t>"Employment Leisure &amp; Hospitality Jobs" in-market audience leak (UK + FR) — 5 of 6 attachments mismatched. ES Workforce attachment is the only correct one.</t>
        </is>
      </c>
      <c r="C17" s="201" t="inlineStr">
        <is>
          <t>Google / UK + FR</t>
        </is>
      </c>
      <c r="D17" s="199" t="n">
        <v>5356</v>
      </c>
      <c r="E17" s="199" t="n">
        <v>21737</v>
      </c>
      <c r="F17" s="202" t="n">
        <v>11955</v>
      </c>
      <c r="G17" s="204" t="inlineStr">
        <is>
          <t>MEDIUM</t>
        </is>
      </c>
      <c r="H17" s="198" t="inlineStr">
        <is>
          <t>Remove in-market audience from 5 mismatched campaigns: UK Flow-Scale-New + Compliance-New + Flow-Hospitality Training-New (partial match, decision), FR Mapal-FR + Easilys v2-FR. Keep ONLY on ES Workforce-ES (correct attachment).</t>
        </is>
      </c>
    </row>
    <row r="18" ht="60" customHeight="1" s="134">
      <c r="A18" s="197" t="n">
        <v>4</v>
      </c>
      <c r="B18" s="198" t="inlineStr">
        <is>
          <t>Spain Display 4 new 2026 launches (€3,156 / 1 conv attributed)</t>
        </is>
      </c>
      <c r="C18" s="201" t="inlineStr">
        <is>
          <t>Google / Spain</t>
        </is>
      </c>
      <c r="D18" s="199" t="n">
        <v>3156</v>
      </c>
      <c r="E18" s="199" t="n">
        <v>12806</v>
      </c>
      <c r="F18" s="202" t="n">
        <v>7043</v>
      </c>
      <c r="G18" s="204" t="inlineStr">
        <is>
          <t>MEDIUM</t>
        </is>
      </c>
      <c r="H18" s="198" t="inlineStr">
        <is>
          <t>Re-evaluate post tracking fix. May be partly attribution gap on new launches still in learning phase.</t>
        </is>
      </c>
    </row>
    <row r="19" ht="60" customHeight="1" s="134">
      <c r="A19" s="197" t="n">
        <v>5</v>
      </c>
      <c r="B19" s="198" t="inlineStr">
        <is>
          <t>FR Microsoft Audience Network display campaigns (1 conv attributed in 90d / €900)</t>
        </is>
      </c>
      <c r="C19" s="201" t="inlineStr">
        <is>
          <t>Microsoft / France</t>
        </is>
      </c>
      <c r="D19" s="199" t="n">
        <v>901</v>
      </c>
      <c r="E19" s="199" t="n">
        <v>3656</v>
      </c>
      <c r="F19" s="202" t="n">
        <v>2011</v>
      </c>
      <c r="G19" s="204" t="inlineStr">
        <is>
          <t>MEDIUM</t>
        </is>
      </c>
      <c r="H19" s="198" t="inlineStr">
        <is>
          <t>Pause this week. Save ~€300/mo. Reactivate later as proper Easilys-site retargeting only.</t>
        </is>
      </c>
    </row>
    <row r="20" ht="60" customHeight="1" s="134">
      <c r="A20" s="197" t="n">
        <v>6</v>
      </c>
      <c r="B20" s="198" t="inlineStr">
        <is>
          <t>FR Microsoft Workforce campaigns (4 campaigns, wrong product for FR market per readiness map)</t>
        </is>
      </c>
      <c r="C20" s="201" t="inlineStr">
        <is>
          <t>Microsoft / France</t>
        </is>
      </c>
      <c r="D20" s="199" t="n">
        <v>785</v>
      </c>
      <c r="E20" s="199" t="n">
        <v>3185</v>
      </c>
      <c r="F20" s="202" t="n">
        <v>2707</v>
      </c>
      <c r="G20" s="203" t="inlineStr">
        <is>
          <t>HIGH</t>
        </is>
      </c>
      <c r="H20" s="198" t="inlineStr">
        <is>
          <t>Pause all 4 FR Workforce Microsoft campaigns. Product is not market-ready in France (confirmed standup 26-May).</t>
        </is>
      </c>
    </row>
    <row r="21" ht="60" customHeight="1" s="134">
      <c r="A21" s="197" t="n">
        <v>7</v>
      </c>
      <c r="B21" s="198" t="inlineStr">
        <is>
          <t>FR Easilys campaigns running WITHOUT 250-KW Easilys negative list (orphan in shared library)</t>
        </is>
      </c>
      <c r="C21" s="201" t="inlineStr">
        <is>
          <t>Microsoft / France</t>
        </is>
      </c>
      <c r="D21" s="197" t="inlineStr">
        <is>
          <t>—</t>
        </is>
      </c>
      <c r="E21" s="197" t="inlineStr">
        <is>
          <t>—</t>
        </is>
      </c>
      <c r="F21" s="202" t="n">
        <v>400</v>
      </c>
      <c r="G21" s="204" t="inlineStr">
        <is>
          <t>MEDIUM</t>
        </is>
      </c>
      <c r="H21" s="198" t="inlineStr">
        <is>
          <t>Attach list to all 16+ FR Easilys campaigns. Conservative efficiency gain 5-10% on ~€5,900/yr FR Easilys spend.</t>
        </is>
      </c>
    </row>
    <row r="22" ht="60" customHeight="1" s="134">
      <c r="A22" s="197" t="n">
        <v>8</v>
      </c>
      <c r="B22" s="198" t="inlineStr">
        <is>
          <t>UK Google: missing ad schedules on Mapal-Scale-keywords + Mapal-Hospitality-software (no specific waste quantified yet)</t>
        </is>
      </c>
      <c r="C22" s="201" t="inlineStr">
        <is>
          <t>Google / UK</t>
        </is>
      </c>
      <c r="D22" s="197" t="inlineStr">
        <is>
          <t>—</t>
        </is>
      </c>
      <c r="E22" s="197" t="inlineStr">
        <is>
          <t>—</t>
        </is>
      </c>
      <c r="F22" s="197" t="inlineStr">
        <is>
          <t>—</t>
        </is>
      </c>
      <c r="G22" s="205" t="inlineStr">
        <is>
          <t>LOW</t>
        </is>
      </c>
      <c r="H22" s="198" t="inlineStr">
        <is>
          <t>Add ad schedules. Waste figure deferred until quantified during UK reactivation audit.</t>
        </is>
      </c>
    </row>
    <row r="23" ht="60" customHeight="1" s="134">
      <c r="A23" s="197" t="n">
        <v>9</v>
      </c>
      <c r="B23" s="198" t="inlineStr">
        <is>
          <t>EN Bing: competitor brand bids (resdiary, cadence hospitality)</t>
        </is>
      </c>
      <c r="C23" s="201" t="inlineStr">
        <is>
          <t>Microsoft / UK</t>
        </is>
      </c>
      <c r="D23" s="199" t="n">
        <v>94</v>
      </c>
      <c r="E23" s="199" t="n">
        <v>381</v>
      </c>
      <c r="F23" s="202" t="n">
        <v>114</v>
      </c>
      <c r="G23" s="205" t="inlineStr">
        <is>
          <t>LOW</t>
        </is>
      </c>
      <c r="H23" s="198" t="inlineStr">
        <is>
          <t>Decision deferred until tracking restored.</t>
        </is>
      </c>
    </row>
    <row r="24" ht="27.75" customHeight="1" s="134">
      <c r="A24" s="206" t="n"/>
      <c r="B24" s="207" t="inlineStr">
        <is>
          <t>SUBTOTAL HIGH CONFIDENCE</t>
        </is>
      </c>
      <c r="C24" s="159" t="n"/>
      <c r="D24" s="208" t="n">
        <v>7378</v>
      </c>
      <c r="E24" s="208" t="n">
        <v>29940</v>
      </c>
      <c r="F24" s="209" t="n">
        <v>25449</v>
      </c>
      <c r="G24" s="210" t="n"/>
      <c r="H24" s="159" t="n"/>
    </row>
    <row r="25" ht="27.75" customHeight="1" s="134">
      <c r="A25" s="211" t="n"/>
      <c r="B25" s="212" t="inlineStr">
        <is>
          <t>SUBTOTAL MEDIUM CONFIDENCE</t>
        </is>
      </c>
      <c r="C25" s="159" t="n"/>
      <c r="D25" s="213" t="n">
        <v>18573</v>
      </c>
      <c r="E25" s="213" t="n">
        <v>75359</v>
      </c>
      <c r="F25" s="214" t="n">
        <v>41847</v>
      </c>
      <c r="G25" s="211" t="n"/>
      <c r="H25" s="159" t="n"/>
    </row>
    <row r="26" ht="27.75" customHeight="1" s="134">
      <c r="A26" s="215" t="n"/>
      <c r="B26" s="216" t="inlineStr">
        <is>
          <t>SUBTOTAL LOW CONFIDENCE / DEFERRED</t>
        </is>
      </c>
      <c r="C26" s="159" t="n"/>
      <c r="D26" s="217" t="n">
        <v>94</v>
      </c>
      <c r="E26" s="217" t="n">
        <v>381</v>
      </c>
      <c r="F26" s="218" t="n">
        <v>114</v>
      </c>
      <c r="G26" s="215" t="n"/>
      <c r="H26" s="159" t="n"/>
    </row>
    <row r="27" ht="49.5" customHeight="1" s="134">
      <c r="B27" s="219" t="inlineStr">
        <is>
          <t>RECONCILIATION: Headline "€35-55K realistic" (top of tab) = further conservatism on the €67,410 line-item total. €67,410 = sum of HIGH × 0.85 + MEDIUM × 0.55 + LOW × 0.30 tracking-fix haircut. €35-55K applies additional ~30% slippage for execution risk + market CPC inflation + Lead Gen Form replication uncertainty. Use €35-55K externally with Zibi/Sebastian. Use €67,410 internally for audit math.</t>
        </is>
      </c>
    </row>
    <row r="28" ht="15.75" customHeight="1" s="134">
      <c r="A28" s="220" t="n"/>
      <c r="B28" s="221" t="inlineStr">
        <is>
          <t>TOTAL REALISTIC RECOVERY</t>
        </is>
      </c>
      <c r="C28" s="190" t="n"/>
      <c r="D28" s="222" t="n">
        <v>26045</v>
      </c>
      <c r="E28" s="222" t="n">
        <v>105680</v>
      </c>
      <c r="F28" s="223" t="n">
        <v>67410</v>
      </c>
      <c r="G28" s="220" t="n"/>
      <c r="H28" s="224" t="n"/>
    </row>
    <row r="29" ht="24.75" customHeight="1" s="134">
      <c r="A29" s="133" t="n"/>
    </row>
    <row r="30" ht="27.75" customHeight="1" s="134">
      <c r="A30" s="187" t="inlineStr">
        <is>
          <t>GOVERNANCE / RISK-ONLY ITEMS (not counted in waste totals — separate value)</t>
        </is>
      </c>
    </row>
    <row r="31" ht="54.75" customHeight="1" s="134">
      <c r="A31" s="148" t="inlineStr">
        <is>
          <t>#</t>
        </is>
      </c>
      <c r="B31" s="148" t="inlineStr">
        <is>
          <t>Item</t>
        </is>
      </c>
      <c r="C31" s="148" t="inlineStr">
        <is>
          <t>Platform</t>
        </is>
      </c>
      <c r="D31" s="148" t="inlineStr">
        <is>
          <t>Severity</t>
        </is>
      </c>
      <c r="E31" s="148" t="inlineStr">
        <is>
          <t>Action</t>
        </is>
      </c>
      <c r="F31" s="158" t="n"/>
      <c r="G31" s="158" t="n"/>
      <c r="H31" s="159" t="n"/>
    </row>
    <row r="32" ht="54.75" customHeight="1" s="134">
      <c r="A32" s="197" t="n">
        <v>1</v>
      </c>
      <c r="B32" s="198" t="inlineStr">
        <is>
          <t>Terminated contractor Lukas retains Primary Super Admin via personal Gmail (Luksius11@gmail.com) on both Microsoft Ads accounts. Same person had Admin on Google Ads ES.</t>
        </is>
      </c>
      <c r="C32" s="201" t="inlineStr">
        <is>
          <t>Microsoft + Google</t>
        </is>
      </c>
      <c r="D32" s="170" t="inlineStr">
        <is>
          <t>CRITICAL</t>
        </is>
      </c>
      <c r="E32" s="198" t="inlineStr">
        <is>
          <t>Escalate to Zibi today. Revoke access immediately.</t>
        </is>
      </c>
      <c r="F32" s="158" t="n"/>
      <c r="G32" s="158" t="n"/>
      <c r="H32" s="159" t="n"/>
    </row>
    <row r="33" ht="54.75" customHeight="1" s="134">
      <c r="A33" s="197" t="n">
        <v>2</v>
      </c>
      <c r="B33" s="198" t="inlineStr">
        <is>
          <t>Pending contractor invite to fabrice@thelead.fr never accepted but still active. Operator of auto-import pipeline from his GA account into FR Microsoft Ads.</t>
        </is>
      </c>
      <c r="C33" s="201" t="inlineStr">
        <is>
          <t>Microsoft</t>
        </is>
      </c>
      <c r="D33" s="172" t="inlineStr">
        <is>
          <t>HIGH</t>
        </is>
      </c>
      <c r="E33" s="198" t="inlineStr">
        <is>
          <t>Revoke pending invite. Reissue under work email if handoff continues.</t>
        </is>
      </c>
      <c r="F33" s="158" t="n"/>
      <c r="G33" s="158" t="n"/>
      <c r="H33" s="159" t="n"/>
    </row>
    <row r="34" ht="15.75" customHeight="1" s="134">
      <c r="A34" s="197" t="n">
        <v>3</v>
      </c>
      <c r="B34" s="198" t="inlineStr">
        <is>
          <t>"Require sign-in with work account" set to OFF on Microsoft accounts (permits personal Gmail admins to exist).</t>
        </is>
      </c>
      <c r="C34" s="201" t="inlineStr">
        <is>
          <t>Microsoft</t>
        </is>
      </c>
      <c r="D34" s="172" t="inlineStr">
        <is>
          <t>HIGH</t>
        </is>
      </c>
      <c r="E34" s="198" t="inlineStr">
        <is>
          <t>Flip ON after Lukas/Fabrice revocation. Prevents recurrence.</t>
        </is>
      </c>
      <c r="F34" s="158" t="n"/>
      <c r="G34" s="158" t="n"/>
      <c r="H34" s="159" t="n"/>
    </row>
    <row r="35" ht="24.75" customHeight="1" s="134">
      <c r="A35" s="133" t="n"/>
    </row>
    <row r="36" ht="31.5" customHeight="1" s="134">
      <c r="A36" s="187" t="inlineStr">
        <is>
          <t>WHERE SAVED BUDGET GOES — REALLOCATION &amp; NEW INVESTMENT (honestly labelled)</t>
        </is>
      </c>
    </row>
    <row r="37" ht="69.75" customHeight="1" s="134">
      <c r="A37" s="148" t="inlineStr">
        <is>
          <t>#</t>
        </is>
      </c>
      <c r="B37" s="148" t="inlineStr">
        <is>
          <t>Move</t>
        </is>
      </c>
      <c r="C37" s="148" t="inlineStr">
        <is>
          <t>Type</t>
        </is>
      </c>
      <c r="D37" s="148" t="inlineStr">
        <is>
          <t>Source / Investment</t>
        </is>
      </c>
      <c r="E37" s="148" t="inlineStr">
        <is>
          <t>Expected outcome (conservative)</t>
        </is>
      </c>
      <c r="F37" s="158" t="n"/>
      <c r="G37" s="158" t="n"/>
      <c r="H37" s="159" t="n"/>
    </row>
    <row r="38" ht="69.75" customHeight="1" s="134">
      <c r="A38" s="197" t="n">
        <v>1</v>
      </c>
      <c r="B38" s="193" t="inlineStr">
        <is>
          <t>UK Google brand defence unpause (CORE Mapal-EN)</t>
        </is>
      </c>
      <c r="C38" s="225" t="inlineStr">
        <is>
          <t>Net new spend</t>
        </is>
      </c>
      <c r="D38" s="198" t="inlineStr">
        <is>
          <t>New: small budget reactivation (~€500-1,000/mo). Same lifetime €13.64 CPA baseline if it holds.</t>
        </is>
      </c>
      <c r="E38" s="198" t="inlineStr">
        <is>
          <t>Capture brand demand currently lost to competitor bidders (Lightspeed, Cloudbeds, EposNow, Access Group). Estimated 20-40 incremental leads/yr at established brand CPA. NOT counted in savings figure.</t>
        </is>
      </c>
      <c r="F38" s="158" t="n"/>
      <c r="G38" s="159" t="n"/>
      <c r="H38" s="203" t="inlineStr">
        <is>
          <t>HIGH</t>
        </is>
      </c>
    </row>
    <row r="39" ht="69.75" customHeight="1" s="134">
      <c r="A39" s="197" t="n">
        <v>2</v>
      </c>
      <c r="B39" s="193" t="inlineStr">
        <is>
          <t>UK Microsoft brand defence reactivation (CORE Mapal-EN Bing)</t>
        </is>
      </c>
      <c r="C39" s="225" t="inlineStr">
        <is>
          <t>Net new spend</t>
        </is>
      </c>
      <c r="D39" s="198" t="inlineStr">
        <is>
          <t>New: latent €393/day budget capacity exists, would activate ~€10-30/day initially.</t>
        </is>
      </c>
      <c r="E39" s="198" t="inlineStr">
        <is>
          <t>Capture 10-15% of UK paid search demand outside Google. Estimated 5-15 leads/yr. NOT counted in savings figure.</t>
        </is>
      </c>
      <c r="F39" s="158" t="n"/>
      <c r="G39" s="159" t="n"/>
      <c r="H39" s="204" t="inlineStr">
        <is>
          <t>MEDIUM</t>
        </is>
      </c>
    </row>
    <row r="40" ht="69.75" customHeight="1" s="134">
      <c r="A40" s="197" t="n">
        <v>3</v>
      </c>
      <c r="B40" s="193" t="inlineStr">
        <is>
          <t>Lead Gen Form playbook → UK Flow + ES Workforce</t>
        </is>
      </c>
      <c r="C40" s="226" t="inlineStr">
        <is>
          <t>Reallocation</t>
        </is>
      </c>
      <c r="D40" s="198" t="inlineStr">
        <is>
          <t>LinkedIn ABM budget freed (€9K/yr) → native Lead Gen Forms.</t>
        </is>
      </c>
      <c r="E40" s="198" t="inlineStr">
        <is>
          <t>Modelled on FR Fab Lead Form (3 leads / €148 CPL / 30d). Conservative: 20-40 leads/yr per market if replicates. Target CPL stays &lt;€200. Dependency: HubSpot Lead Gen Form integration setup.</t>
        </is>
      </c>
      <c r="F40" s="158" t="n"/>
      <c r="G40" s="159" t="n"/>
      <c r="H40" s="204" t="inlineStr">
        <is>
          <t>MEDIUM</t>
        </is>
      </c>
    </row>
    <row r="41" ht="69.75" customHeight="1" s="134">
      <c r="A41" s="197" t="n">
        <v>4</v>
      </c>
      <c r="B41" s="193" t="inlineStr">
        <is>
          <t>Move Workforce-ES Search to tCPA bidding (when tracking fixed)</t>
        </is>
      </c>
      <c r="C41" s="225" t="inlineStr">
        <is>
          <t>Bid strategy change</t>
        </is>
      </c>
      <c r="D41" s="198" t="inlineStr">
        <is>
          <t>No budget move. Switch Maximize Clicks → tCPA.</t>
        </is>
      </c>
      <c r="E41" s="198" t="inlineStr">
        <is>
          <t>Modelled CPA improvement 20-40% on Workforce-ES Search. Blocked until conversion-signal fixed. NOT counted in savings.</t>
        </is>
      </c>
      <c r="F41" s="158" t="n"/>
      <c r="G41" s="159" t="n"/>
      <c r="H41" s="204" t="inlineStr">
        <is>
          <t>MEDIUM</t>
        </is>
      </c>
    </row>
    <row r="42" ht="69.75" customHeight="1" s="134">
      <c r="A42" s="197" t="n">
        <v>5</v>
      </c>
      <c r="B42" s="193" t="inlineStr">
        <is>
          <t>France public sector LP + ads (Easilys flagship play)</t>
        </is>
      </c>
      <c r="C42" s="227" t="inlineStr">
        <is>
          <t>Net new investment</t>
        </is>
      </c>
      <c r="D42" s="198" t="inlineStr">
        <is>
          <t>NEW: ~€500-1,000/mo paid + LP design effort. Saved budget covers ~30-50% of this.</t>
        </is>
      </c>
      <c r="E42" s="198" t="inlineStr">
        <is>
          <t>Speculative. Modelled 5-15 high-value SQLs/yr if proof-of-concept works. Genuinely new territory. NOT counted in savings figure.</t>
        </is>
      </c>
      <c r="F42" s="158" t="n"/>
      <c r="G42" s="159" t="n"/>
      <c r="H42" s="205" t="inlineStr">
        <is>
          <t>LOW</t>
        </is>
      </c>
    </row>
    <row r="43" ht="15.75" customHeight="1" s="134">
      <c r="A43" s="197" t="n">
        <v>6</v>
      </c>
      <c r="B43" s="193" t="inlineStr">
        <is>
          <t>Cross-channel conversion goal fix (conversion signal + Lead MQL)</t>
        </is>
      </c>
      <c r="C43" s="225" t="inlineStr">
        <is>
          <t>Tracking unlock</t>
        </is>
      </c>
      <c r="D43" s="198" t="inlineStr">
        <is>
          <t>No budget move. Engineering work by Andy / RevOps.</t>
        </is>
      </c>
      <c r="E43" s="198" t="inlineStr">
        <is>
          <t>Unlocks reliable attribution. Enables tCPA bidding everywhere. Estimated 10-20% efficiency gain on existing remaining spend. Hard to quantify but real. NOT counted in headline savings.</t>
        </is>
      </c>
      <c r="F43" s="158" t="n"/>
      <c r="G43" s="159" t="n"/>
      <c r="H43" s="203" t="inlineStr">
        <is>
          <t>HIGH</t>
        </is>
      </c>
    </row>
    <row r="44" ht="24.75" customHeight="1" s="134">
      <c r="A44" s="133" t="n"/>
    </row>
    <row r="45" ht="54.75" customHeight="1" s="134">
      <c r="A45" s="187" t="inlineStr">
        <is>
          <t>METHODOLOGY + HONEST CAVEATS (read this before challenging the numbers)</t>
        </is>
      </c>
    </row>
    <row r="46" ht="54.75" customHeight="1" s="134">
      <c r="A46" s="167" t="inlineStr">
        <is>
          <t>1. Annualisation method</t>
        </is>
      </c>
      <c r="B46" s="159" t="n"/>
      <c r="C46" s="151" t="inlineStr">
        <is>
          <t>All 90-day waste figures × (365/90) = ×4.06 to project 12-month run-rate IF nothing changes. Seasonal variation could move actual figures ±15%.</t>
        </is>
      </c>
      <c r="D46" s="158" t="n"/>
      <c r="E46" s="158" t="n"/>
      <c r="F46" s="158" t="n"/>
      <c r="G46" s="158" t="n"/>
      <c r="H46" s="159" t="n"/>
    </row>
    <row r="47" ht="54.75" customHeight="1" s="134">
      <c r="A47" s="167" t="inlineStr">
        <is>
          <t>2. Tracking-fix haircut (this is critical)</t>
        </is>
      </c>
      <c r="B47" s="159" t="n"/>
      <c r="C47" s="151" t="inlineStr">
        <is>
          <t>Lead MQL + Lead SQL conversion goals are broken across Google, LinkedIn, and Microsoft. UET/Insight tags are firing but the lead events at the website/HubSpot layer are not. This means SOME "0 conversions" findings may have hidden real conversions. Applied haircut: HIGH-confidence items × 0.85 (15% conservative), MEDIUM-confidence × 0.55 (45% haircut), LOW × 0.30. Numbers in "Realistic Recovery" column reflect this haircut already applied.</t>
        </is>
      </c>
      <c r="D47" s="158" t="n"/>
      <c r="E47" s="158" t="n"/>
      <c r="F47" s="158" t="n"/>
      <c r="G47" s="158" t="n"/>
      <c r="H47" s="159" t="n"/>
    </row>
    <row r="48" ht="54.75" customHeight="1" s="134">
      <c r="A48" s="167" t="inlineStr">
        <is>
          <t>3. Why HIGH confidence is HIGH</t>
        </is>
      </c>
      <c r="B48" s="159" t="n"/>
      <c r="C48" s="151" t="inlineStr">
        <is>
          <t>HIGH = multi-source evidence: zero conversions AND structural misalignment (wrong product for market per readiness map, OR demonstrable internal benchmark like Workforce-ES desktop converting at €79 CPA while mobile does not). Not pure attribution risk.</t>
        </is>
      </c>
      <c r="D48" s="158" t="n"/>
      <c r="E48" s="158" t="n"/>
      <c r="F48" s="158" t="n"/>
      <c r="G48" s="158" t="n"/>
      <c r="H48" s="159" t="n"/>
    </row>
    <row r="49" ht="54.75" customHeight="1" s="134">
      <c r="A49" s="167" t="inlineStr">
        <is>
          <t>4. Why MEDIUM is haircut so heavily</t>
        </is>
      </c>
      <c r="B49" s="159" t="n"/>
      <c r="C49" s="151" t="inlineStr">
        <is>
          <t>MEDIUM = could be real waste, could be partially hidden by attribution. Once Lead MQL/SQL tracking restored, some MEDIUM items may turn out to be HIGH (less waste). Re-baseline planned 30 days post tracking fix.</t>
        </is>
      </c>
      <c r="D49" s="158" t="n"/>
      <c r="E49" s="158" t="n"/>
      <c r="F49" s="158" t="n"/>
      <c r="G49" s="158" t="n"/>
      <c r="H49" s="159" t="n"/>
    </row>
    <row r="50" ht="54.75" customHeight="1" s="134">
      <c r="A50" s="167" t="inlineStr">
        <is>
          <t>5. What "waste" means here</t>
        </is>
      </c>
      <c r="B50" s="159" t="n"/>
      <c r="C50" s="151" t="inlineStr">
        <is>
          <t>Spend on campaigns/keywords/audiences with zero or near-zero attributed conversions AND structural misalignment (wrong product, wrong market, wrong audience, broken bid strategy). Excludes spend where attribution is the only red flag and structural fit is fine.</t>
        </is>
      </c>
      <c r="D50" s="158" t="n"/>
      <c r="E50" s="158" t="n"/>
      <c r="F50" s="158" t="n"/>
      <c r="G50" s="158" t="n"/>
      <c r="H50" s="159" t="n"/>
    </row>
    <row r="51" ht="54.75" customHeight="1" s="134">
      <c r="A51" s="167" t="inlineStr">
        <is>
          <t>6. Already-booked vs forward-recovery</t>
        </is>
      </c>
      <c r="B51" s="159" t="n"/>
      <c r="C51" s="151" t="inlineStr">
        <is>
          <t>LinkedIn ABM kill (€9K/yr run-rate prevented) is BOOKED — that decision is already taken. Counted as forward-prevented spend, not future recovery. All other items in waste table are still-running and represent recovery opportunity from action this quarter.</t>
        </is>
      </c>
      <c r="D51" s="158" t="n"/>
      <c r="E51" s="158" t="n"/>
      <c r="F51" s="158" t="n"/>
      <c r="G51" s="158" t="n"/>
      <c r="H51" s="159" t="n"/>
    </row>
    <row r="52" ht="54.75" customHeight="1" s="134">
      <c r="A52" s="167" t="inlineStr">
        <is>
          <t>7. What is NOT included in savings figure</t>
        </is>
      </c>
      <c r="B52" s="159" t="n"/>
      <c r="C52" s="151" t="inlineStr">
        <is>
          <t>(a) SEO in-housing (separate Mapal program, ~€50K/yr, not double-counted). (b) Agency cost reductions if any. (c) Headcount efficiency. (d) Brand equity uplift from UK brand defence reactivation. (e) Tracking-fix attribution accuracy gains (10-20% efficiency on remaining spend, real but unquantified). (f) Lead volume gains from reallocation moves (counted as "outcomes" not "savings").</t>
        </is>
      </c>
      <c r="D52" s="158" t="n"/>
      <c r="E52" s="158" t="n"/>
      <c r="F52" s="158" t="n"/>
      <c r="G52" s="158" t="n"/>
      <c r="H52" s="159" t="n"/>
    </row>
    <row r="53" ht="54.75" customHeight="1" s="134">
      <c r="A53" s="167" t="inlineStr">
        <is>
          <t>8. Why total paid spend baseline is not in this tab</t>
        </is>
      </c>
      <c r="B53" s="159" t="n"/>
      <c r="C53" s="151" t="inlineStr">
        <is>
          <t>Total estimated paid spend across all 4 platforms is roughly €350-450K/year but I do not have a single source-of-truth for this figure (Google Ads total not consolidated, LinkedIn ~€77K/yr, Microsoft ~€26K/yr verified). Removed to avoid an unsourced anchor. Recovery range is presented as absolute € rather than %.</t>
        </is>
      </c>
      <c r="D53" s="158" t="n"/>
      <c r="E53" s="158" t="n"/>
      <c r="F53" s="158" t="n"/>
      <c r="G53" s="158" t="n"/>
      <c r="H53" s="159" t="n"/>
    </row>
    <row r="54" ht="54.75" customHeight="1" s="134">
      <c r="A54" s="167" t="inlineStr">
        <is>
          <t>9. Reallocation honesty</t>
        </is>
      </c>
      <c r="B54" s="159" t="n"/>
      <c r="C54" s="151" t="inlineStr">
        <is>
          <t>Most "reallocation" items are actually net-new investments (UK brand defence reactivation, France public sector LP). Only LinkedIn ABM → Lead Gen Form is true reallocation. Reallocation outcomes are presented as expected lead/conversion volume gains, NOT counted in headline € savings.</t>
        </is>
      </c>
      <c r="D54" s="158" t="n"/>
      <c r="E54" s="158" t="n"/>
      <c r="F54" s="158" t="n"/>
      <c r="G54" s="158" t="n"/>
      <c r="H54" s="159" t="n"/>
    </row>
    <row r="55" ht="54.75" customHeight="1" s="134">
      <c r="A55" s="167" t="inlineStr">
        <is>
          <t>10. Re-baseline plan</t>
        </is>
      </c>
      <c r="B55" s="159" t="n"/>
      <c r="C55" s="151" t="inlineStr">
        <is>
          <t>30 days post tracking fix landing: re-run waste calculations with restored attribution. Some MEDIUM items may shrink (had hidden conv). Some HIGH items may grow (consistent zero-conv after tracking fix = confirmed waste, not attribution gap). Net direction: figure likely refines tighter, not wider.</t>
        </is>
      </c>
      <c r="D55" s="158" t="n"/>
      <c r="E55" s="158" t="n"/>
      <c r="F55" s="158" t="n"/>
      <c r="G55" s="158" t="n"/>
      <c r="H55" s="159" t="n"/>
    </row>
    <row r="56" ht="54.75" customHeight="1" s="134">
      <c r="A56" s="167" t="inlineStr">
        <is>
          <t>11. What could realistically go wrong</t>
        </is>
      </c>
      <c r="B56" s="159" t="n"/>
      <c r="C56" s="151" t="inlineStr">
        <is>
          <t>Tracking fix takes longer than expected (gates verification, slows Q3 execution). Lead Gen Form approach does not replicate to EN/ES (FR result was 1 data point). Market CPCs rise materially. Conservative range accounts for ~30% slippage.</t>
        </is>
      </c>
      <c r="D56" s="158" t="n"/>
      <c r="E56" s="158" t="n"/>
      <c r="F56" s="158" t="n"/>
      <c r="G56" s="158" t="n"/>
      <c r="H56" s="159" t="n"/>
    </row>
    <row r="57" ht="15.75" customHeight="1" s="134">
      <c r="A57" s="167" t="inlineStr">
        <is>
          <t>12. What is NOT counted but matters</t>
        </is>
      </c>
      <c r="B57" s="159" t="n"/>
      <c r="C57" s="151" t="inlineStr">
        <is>
          <t>Brand integrity gains from UK brand defence reactivation. Improved attribution clarity once tracking restored. Reduced governance risk from access cleanup. Better data for Q3+ decision-making. These are real value but unquantified.</t>
        </is>
      </c>
      <c r="D57" s="158" t="n"/>
      <c r="E57" s="158" t="n"/>
      <c r="F57" s="158" t="n"/>
      <c r="G57" s="158" t="n"/>
      <c r="H57" s="159" t="n"/>
    </row>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mergeCells count="65">
    <mergeCell ref="A9:H9"/>
    <mergeCell ref="A5:D5"/>
    <mergeCell ref="A48:B48"/>
    <mergeCell ref="C47:H47"/>
    <mergeCell ref="A30:H30"/>
    <mergeCell ref="C54:H54"/>
    <mergeCell ref="C55:H55"/>
    <mergeCell ref="C50:H50"/>
    <mergeCell ref="B25:C25"/>
    <mergeCell ref="A49:B49"/>
    <mergeCell ref="A51:B51"/>
    <mergeCell ref="A2:H3"/>
    <mergeCell ref="E5:F5"/>
    <mergeCell ref="E40:G40"/>
    <mergeCell ref="A36:H36"/>
    <mergeCell ref="A45:H45"/>
    <mergeCell ref="A1:H1"/>
    <mergeCell ref="C56:H56"/>
    <mergeCell ref="E32:H32"/>
    <mergeCell ref="E37:H37"/>
    <mergeCell ref="C51:H51"/>
    <mergeCell ref="C46:H46"/>
    <mergeCell ref="A54:B54"/>
    <mergeCell ref="G7:H7"/>
    <mergeCell ref="C52:H52"/>
    <mergeCell ref="A46:B46"/>
    <mergeCell ref="G6:H6"/>
    <mergeCell ref="C48:H48"/>
    <mergeCell ref="E33:H33"/>
    <mergeCell ref="A56:B56"/>
    <mergeCell ref="A55:B55"/>
    <mergeCell ref="A50:B50"/>
    <mergeCell ref="E6:F6"/>
    <mergeCell ref="E41:G41"/>
    <mergeCell ref="C57:H57"/>
    <mergeCell ref="A6:D6"/>
    <mergeCell ref="G24:H24"/>
    <mergeCell ref="B27:H27"/>
    <mergeCell ref="A57:B57"/>
    <mergeCell ref="A47:B47"/>
    <mergeCell ref="B28:C28"/>
    <mergeCell ref="G5:H5"/>
    <mergeCell ref="C53:H53"/>
    <mergeCell ref="A7:D7"/>
    <mergeCell ref="C49:H49"/>
    <mergeCell ref="E43:G43"/>
    <mergeCell ref="F11:H11"/>
    <mergeCell ref="G26:H26"/>
    <mergeCell ref="A53:B53"/>
    <mergeCell ref="A4:H4"/>
    <mergeCell ref="F10:H10"/>
    <mergeCell ref="B24:C24"/>
    <mergeCell ref="E42:G42"/>
    <mergeCell ref="A52:B52"/>
    <mergeCell ref="A29:H29"/>
    <mergeCell ref="E31:H31"/>
    <mergeCell ref="E7:F7"/>
    <mergeCell ref="A35:H35"/>
    <mergeCell ref="E34:H34"/>
    <mergeCell ref="G25:H25"/>
    <mergeCell ref="E39:G39"/>
    <mergeCell ref="A13:H13"/>
    <mergeCell ref="A44:H44"/>
    <mergeCell ref="B26:C26"/>
    <mergeCell ref="E38:G38"/>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H4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baseColWidth="8" defaultColWidth="14.43359375" defaultRowHeight="15" zeroHeight="0" outlineLevelRow="0"/>
  <cols>
    <col width="4" customWidth="1" style="133" min="1" max="1"/>
    <col width="30" customWidth="1" style="133" min="2" max="2"/>
    <col width="14" customWidth="1" style="133" min="3" max="3"/>
    <col width="26.86" customWidth="1" style="133" min="4" max="4"/>
    <col width="16.84" customWidth="1" style="133" min="5" max="5"/>
    <col width="32" customWidth="1" style="133" min="6" max="7"/>
    <col width="18" customWidth="1" style="133" min="8" max="8"/>
    <col width="8.710000000000001" customWidth="1" style="133" min="9" max="26"/>
  </cols>
  <sheetData>
    <row r="1" ht="34.5" customHeight="1" s="134">
      <c r="A1" s="185" t="inlineStr">
        <is>
          <t>ABM TRIAGE — Decisions on all active and blocked ABM tasks</t>
        </is>
      </c>
    </row>
    <row r="2" ht="34.5" customHeight="1" s="134">
      <c r="A2" s="186" t="inlineStr">
        <is>
          <t>Based on audit findings + product-market readiness map + Sebastian wider-audience pivot post-LinkedIn review + Zibi explicit cover to save budget on non-performing campaigns.</t>
        </is>
      </c>
    </row>
    <row r="3" ht="7.5" customHeight="1" s="134"/>
    <row r="4" ht="24.75" customHeight="1" s="134">
      <c r="A4" s="187" t="inlineStr">
        <is>
          <t>STRATEGIC FRAME (the position to hold publicly)</t>
        </is>
      </c>
    </row>
    <row r="5" ht="69.75" customHeight="1" s="134">
      <c r="A5" s="167" t="inlineStr">
        <is>
          <t>OLD ABM (proven failed across UK + ES + FR)</t>
        </is>
      </c>
      <c r="B5" s="159" t="n"/>
      <c r="C5" s="151" t="inlineStr">
        <is>
          <t>Narrow Top-100 hand-curated company lists. InMail or Sponsored Content against 3-8K audiences. Expected LinkedIn algorithm to optimise at that scale. Audit evidence: FR Play-1 wrong vertical (51% healthcare + govt) €441 / 0 leads. UK ABM permanent cold-start at $2.75/day across 2.17M underlying. ES paused before tracking visible. CPC €184 on average (vs €8.28 non-ABM).</t>
        </is>
      </c>
      <c r="D5" s="158" t="n"/>
      <c r="E5" s="158" t="n"/>
      <c r="F5" s="158" t="n"/>
      <c r="G5" s="158" t="n"/>
      <c r="H5" s="159" t="n"/>
    </row>
    <row r="6" ht="69.75" customHeight="1" s="134">
      <c r="A6" s="167" t="inlineStr">
        <is>
          <t>NEW ABM (aligned with Sebastian post-review pivot + FR Fab Lead Form proven model)</t>
        </is>
      </c>
      <c r="B6" s="159" t="n"/>
      <c r="C6" s="151" t="inlineStr">
        <is>
          <t>Broader audience 50K+ at LinkedIn algorithmic scale. ICP-filtered but not narrow-list filtered. Lead Generation objective with native Lead Gen Forms where possible. Creative concepts preserved (UK training-execution-gap hook, FR Easilys video plays). Per-market product fit per readiness map: UK = Flow flagship, FR = Easilys flagship, ES = Workforce flagship (later, post tracking fix).</t>
        </is>
      </c>
      <c r="D6" s="158" t="n"/>
      <c r="E6" s="158" t="n"/>
      <c r="F6" s="158" t="n"/>
      <c r="G6" s="158" t="n"/>
      <c r="H6" s="159" t="n"/>
    </row>
    <row r="7" ht="69.75" customHeight="1" s="134">
      <c r="A7" s="167" t="inlineStr">
        <is>
          <t>THE TRIAGE LOGIC</t>
        </is>
      </c>
      <c r="B7" s="159" t="n"/>
      <c r="C7" s="151" t="inlineStr">
        <is>
          <t>GREEN = proceed as-is (aligned with new direction). YELLOW = rescue with audience modification (creative is good, audience approach is broken). AMBER = defer until strategy review post-15 June (depends on owner-role decisions). RED = kill (clear waste per audit data, no rescue value).</t>
        </is>
      </c>
      <c r="D7" s="158" t="n"/>
      <c r="E7" s="158" t="n"/>
      <c r="F7" s="158" t="n"/>
      <c r="G7" s="158" t="n"/>
      <c r="H7" s="159" t="n"/>
    </row>
    <row r="8" ht="69.75" customHeight="1" s="134">
      <c r="A8" s="167" t="inlineStr">
        <is>
          <t>KEY EXTERNAL POSITION (use this if asked)</t>
        </is>
      </c>
      <c r="B8" s="159" t="n"/>
      <c r="C8" s="151" t="inlineStr">
        <is>
          <t>"I am not killing ABM. I am implementing the direction Sebastian himself indicated after the LinkedIn review — broader audience for scale, combined with stronger creative. The narrow Top-100 audience approach is what the audit data shows does not work. Sebastian is on the record that any budget change requires data-driven discussion. Here is the data and here are the decisions."</t>
        </is>
      </c>
      <c r="D8" s="158" t="n"/>
      <c r="E8" s="158" t="n"/>
      <c r="F8" s="158" t="n"/>
      <c r="G8" s="158" t="n"/>
      <c r="H8" s="159" t="n"/>
    </row>
    <row r="9"/>
    <row r="10" ht="24.75" customHeight="1" s="134">
      <c r="A10" s="187" t="inlineStr">
        <is>
          <t>DECISION TABLE (every active or pending ABM task)</t>
        </is>
      </c>
    </row>
    <row r="11" ht="37.5" customHeight="1" s="134">
      <c r="A11" s="148" t="inlineStr">
        <is>
          <t>#</t>
        </is>
      </c>
      <c r="B11" s="148" t="inlineStr">
        <is>
          <t>Task</t>
        </is>
      </c>
      <c r="C11" s="148" t="inlineStr">
        <is>
          <t>Market / Product</t>
        </is>
      </c>
      <c r="D11" s="148" t="inlineStr">
        <is>
          <t>Current state</t>
        </is>
      </c>
      <c r="E11" s="148" t="inlineStr">
        <is>
          <t>Decision</t>
        </is>
      </c>
      <c r="F11" s="148" t="inlineStr">
        <is>
          <t>Rationale (audit-grounded)</t>
        </is>
      </c>
      <c r="G11" s="148" t="inlineStr">
        <is>
          <t>Action</t>
        </is>
      </c>
      <c r="H11" s="148" t="inlineStr">
        <is>
          <t>Budget impact</t>
        </is>
      </c>
    </row>
    <row r="12" ht="99.75" customHeight="1" s="134">
      <c r="A12" s="197" t="n">
        <v>1</v>
      </c>
      <c r="B12" s="193" t="inlineStr">
        <is>
          <t>A/B test UK video ads (1214906637658928)</t>
        </is>
      </c>
      <c r="C12" s="201" t="inlineStr">
        <is>
          <t>UK / Flow (hotels)</t>
        </is>
      </c>
      <c r="D12" s="198" t="inlineStr">
        <is>
          <t>Blocked — paused by Adrian pending audit</t>
        </is>
      </c>
      <c r="E12" s="228" t="inlineStr">
        <is>
          <t>YELLOW</t>
        </is>
      </c>
      <c r="F12" s="198" t="inlineStr">
        <is>
          <t>Creative is RIGHT (UK Flow flagship per readiness map, QHotels case study, hotel onboarding 13.5h to 5h hook, 4 ads ready, KPIs include form submissions). Audience approach was WRONG (narrow UK-QSR/FSR Top-100 ABM list = audit shows $2.75/day across 2.17M = permanent cold-start). Rescue by replacing audience.</t>
        </is>
      </c>
      <c r="G12" s="198" t="inlineStr">
        <is>
          <t>Approve A/B test. Move to In Progress on both boards. Run 4 ads against BROADER UK Flow ICP audience (hotels primary, QSR/FSR secondary per map), NOT narrow Top-100 list. Budget £500-£1,000/month to actually exit learning phase. Brief Harry/Rosie/Sebastian on the audience change with the audit data.</t>
        </is>
      </c>
      <c r="H12" s="198" t="inlineStr">
        <is>
          <t>Net new spend ~€600-1,200/month. Replaces frozen spend on cold-start narrow audience. Better lead probability.</t>
        </is>
      </c>
    </row>
    <row r="13" ht="99.75" customHeight="1" s="134">
      <c r="A13" s="197" t="n">
        <v>2</v>
      </c>
      <c r="B13" s="193" t="inlineStr">
        <is>
          <t>UK Blog 2 ads (incoming from Rosie, briefing Tuesday 2 June)</t>
        </is>
      </c>
      <c r="C13" s="201" t="inlineStr">
        <is>
          <t>UK / Flow (hotels)</t>
        </is>
      </c>
      <c r="D13" s="198" t="inlineStr">
        <is>
          <t>Not yet on board — incoming brief</t>
        </is>
      </c>
      <c r="E13" s="228" t="inlineStr">
        <is>
          <t>YELLOW</t>
        </is>
      </c>
      <c r="F13" s="198" t="inlineStr">
        <is>
          <t>Same logic as UK video A/B test. Blog content for UK Flow is on-product. Narrow ABM audience kills lead volume. Broader audience approach can use the blog ads as both initial outreach AND retargeting once audience accumulates.</t>
        </is>
      </c>
      <c r="G13" s="198" t="inlineStr">
        <is>
          <t>Reply to Rosie: yes to blog 2 ads, audience to be broader UK Flow ICP. Add task to board WHEN brief lands June 2. Subtask of UK A/B video test campaign group OR standalone — decide based on brief.</t>
        </is>
      </c>
      <c r="H13" s="198" t="inlineStr">
        <is>
          <t>Incremental ~€300-500/month if added. Layers with video A/B test.</t>
        </is>
      </c>
    </row>
    <row r="14" ht="99.75" customHeight="1" s="134">
      <c r="A14" s="197" t="n">
        <v>3</v>
      </c>
      <c r="B14" s="193" t="inlineStr">
        <is>
          <t>Launch PPC (Easilys video) ABM CC Top 100 - Play 1 (1214268789792405)</t>
        </is>
      </c>
      <c r="C14" s="201" t="inlineStr">
        <is>
          <t>FR / Easilys (CC, public sector)</t>
        </is>
      </c>
      <c r="D14" s="198" t="inlineStr">
        <is>
          <t>Triage on personal / Current Sprint on standup (state mismatch)</t>
        </is>
      </c>
      <c r="E14" s="228" t="inlineStr">
        <is>
          <t>YELLOW</t>
        </is>
      </c>
      <c r="F14" s="198" t="inlineStr">
        <is>
          <t>Easilys video creative is RIGHT (FR Easilys flagship per readiness map). Top-100 audience is WRONG (audit confirmed: Play-1 used wrong-vertical company list, ICP misfit). FR Fab Lead Form proves broader audience model works on same Easilys offer (3 leads / €148 CPL at 22K audience). CONSOLIDATE Plays 1+2+3 into ONE broader-audience campaign with creative variants as A/B.</t>
        </is>
      </c>
      <c r="G14" s="198" t="inlineStr">
        <is>
          <t>Rename and rescope: ONE FR Easilys video campaign with broader FR Easilys ICP audience (the existing 1.28M FR TOP 100 Accounts v2 matched audience is ready and unused — use it). Plays 1+2+3 creative become 3 A/B variants. Budget €600/mo not €1,800x3=€5,400. Move to In Progress when ready. Kill the two sister tasks (Plays 2 and 3) via consolidation.</t>
        </is>
      </c>
      <c r="H14" s="198" t="inlineStr">
        <is>
          <t>Saves ~€4,800 vs original Plays 1+2+3 plan. Net spend €600-900/month one consolidated campaign.</t>
        </is>
      </c>
    </row>
    <row r="15" ht="99.75" customHeight="1" s="134">
      <c r="A15" s="197" t="n">
        <v>4</v>
      </c>
      <c r="B15" s="193" t="inlineStr">
        <is>
          <t>Launch PPC (Easilys video) ABM CC Top 100 - Play 2 (1214374453833685)</t>
        </is>
      </c>
      <c r="C15" s="201" t="inlineStr">
        <is>
          <t>FR / Easilys</t>
        </is>
      </c>
      <c r="D15" s="198" t="inlineStr">
        <is>
          <t>Triage on personal / Backlog on standup</t>
        </is>
      </c>
      <c r="E15" s="228" t="inlineStr">
        <is>
          <t>YELLOW (CONSOLIDATE)</t>
        </is>
      </c>
      <c r="F15" s="198" t="inlineStr">
        <is>
          <t>Creative variant absorbed into the rescued Play 1 campaign. Same rationale.</t>
        </is>
      </c>
      <c r="G15" s="198" t="inlineStr">
        <is>
          <t>Mark this task as no longer separate. Comment on it linking to the consolidated campaign. Move to Done with a "consolidated into Play 1 rescue" note.</t>
        </is>
      </c>
      <c r="H15" s="198" t="inlineStr">
        <is>
          <t>Eliminates €1,800 standalone budget. Creative preserved in consolidated campaign.</t>
        </is>
      </c>
    </row>
    <row r="16" ht="99.75" customHeight="1" s="134">
      <c r="A16" s="197" t="n">
        <v>5</v>
      </c>
      <c r="B16" s="193" t="inlineStr">
        <is>
          <t>Launch PPC (Easilys video) ABM CC Top 100 - Play 3 (1214269055401055)</t>
        </is>
      </c>
      <c r="C16" s="201" t="inlineStr">
        <is>
          <t>FR / Easilys</t>
        </is>
      </c>
      <c r="D16" s="198" t="inlineStr">
        <is>
          <t>Triage on personal / Backlog on standup</t>
        </is>
      </c>
      <c r="E16" s="228" t="inlineStr">
        <is>
          <t>YELLOW (CONSOLIDATE)</t>
        </is>
      </c>
      <c r="F16" s="198" t="inlineStr">
        <is>
          <t>Same as Play 2. Creative variant absorbed.</t>
        </is>
      </c>
      <c r="G16" s="198" t="inlineStr">
        <is>
          <t>Same as Play 2: comment + move to Done.</t>
        </is>
      </c>
      <c r="H16" s="198" t="inlineStr">
        <is>
          <t>Eliminates €1,800 standalone budget.</t>
        </is>
      </c>
    </row>
    <row r="17" ht="99.75" customHeight="1" s="134">
      <c r="A17" s="197" t="n">
        <v>6</v>
      </c>
      <c r="B17" s="193" t="inlineStr">
        <is>
          <t>Create ABM FR Top 100 campaign in LinkedIn (1214194881579995)</t>
        </is>
      </c>
      <c r="C17" s="201" t="inlineStr">
        <is>
          <t>FR / Easilys (InMail)</t>
        </is>
      </c>
      <c r="D17" s="198" t="inlineStr">
        <is>
          <t>Blocked on personal / Backlog on standup</t>
        </is>
      </c>
      <c r="E17" s="229" t="inlineStr">
        <is>
          <t>RED</t>
        </is>
      </c>
      <c r="F17" s="198" t="inlineStr">
        <is>
          <t>This is the InMail version of FR Play-1 ABM. Audit confirmed Play-1 ad set used ELSAN + regional government company list (51% wrong vertical), audience 3,400 below LinkedIn 50K threshold, €441 / 0 leads. Same fate guaranteed.</t>
        </is>
      </c>
      <c r="G17" s="198" t="inlineStr">
        <is>
          <t>Cancel. Move to Done both boards with rationale comment.</t>
        </is>
      </c>
      <c r="H17" s="198" t="inlineStr">
        <is>
          <t>Saves €900 forward run-rate.</t>
        </is>
      </c>
    </row>
    <row r="18" ht="99.75" customHeight="1" s="134">
      <c r="A18" s="197" t="n">
        <v>7</v>
      </c>
      <c r="B18" s="193" t="inlineStr">
        <is>
          <t>Launch InMail 2 - ABM FR CC top 100 - Play 1 (1214194909050660)</t>
        </is>
      </c>
      <c r="C18" s="201" t="inlineStr">
        <is>
          <t>FR / Easilys (InMail)</t>
        </is>
      </c>
      <c r="D18" s="198" t="inlineStr">
        <is>
          <t>Blocked on personal / Backlog on standup. Launch date already past (19/05).</t>
        </is>
      </c>
      <c r="E18" s="229" t="inlineStr">
        <is>
          <t>RED</t>
        </is>
      </c>
      <c r="F18" s="198" t="inlineStr">
        <is>
          <t>Sister to above. Same audit evidence: narrow Top-100 InMail = €441/0 leads, FR Lead MQL Inactive 4 weeks. No rescue value (InMail format does not benefit from broader audience same way Sponsored Content does — InMail is inherently 1-to-1).</t>
        </is>
      </c>
      <c r="G18" s="198" t="inlineStr">
        <is>
          <t>Cancel. Move to Done both boards.</t>
        </is>
      </c>
      <c r="H18" s="198" t="inlineStr">
        <is>
          <t>Saves €900 forward run-rate.</t>
        </is>
      </c>
    </row>
    <row r="19" ht="99.75" customHeight="1" s="134">
      <c r="A19" s="197" t="n">
        <v>8</v>
      </c>
      <c r="B19" s="193" t="inlineStr">
        <is>
          <t>Launch InMail 1 - top 100 CC - play 3 (1214353039458386)</t>
        </is>
      </c>
      <c r="C19" s="201" t="inlineStr">
        <is>
          <t>FR / Easilys (InMail)</t>
        </is>
      </c>
      <c r="D19" s="198" t="inlineStr">
        <is>
          <t>Blocked on personal / Backlog on standup</t>
        </is>
      </c>
      <c r="E19" s="229" t="inlineStr">
        <is>
          <t>RED</t>
        </is>
      </c>
      <c r="F19" s="198" t="inlineStr">
        <is>
          <t>Same InMail Top-100 narrow approach. Same expected outcome.</t>
        </is>
      </c>
      <c r="G19" s="198" t="inlineStr">
        <is>
          <t>Cancel. Move to Done both boards.</t>
        </is>
      </c>
      <c r="H19" s="198" t="inlineStr">
        <is>
          <t>Saves €900 forward run-rate.</t>
        </is>
      </c>
    </row>
    <row r="20" ht="99.75" customHeight="1" s="134">
      <c r="A20" s="197" t="n">
        <v>9</v>
      </c>
      <c r="B20" s="193" t="inlineStr">
        <is>
          <t>Launch InMail 1 - top 100 CC - play 2 (1214401762825192)</t>
        </is>
      </c>
      <c r="C20" s="201" t="inlineStr">
        <is>
          <t>FR / Easilys (InMail)</t>
        </is>
      </c>
      <c r="D20" s="198" t="inlineStr">
        <is>
          <t>Triage on personal / Backlog on standup</t>
        </is>
      </c>
      <c r="E20" s="229" t="inlineStr">
        <is>
          <t>RED</t>
        </is>
      </c>
      <c r="F20" s="198" t="inlineStr">
        <is>
          <t>Same InMail Top-100 narrow approach. Same expected outcome.</t>
        </is>
      </c>
      <c r="G20" s="198" t="inlineStr">
        <is>
          <t>Cancel. Move to Done both boards.</t>
        </is>
      </c>
      <c r="H20" s="198" t="inlineStr">
        <is>
          <t>Saves €900 forward run-rate.</t>
        </is>
      </c>
    </row>
    <row r="21" ht="99.75" customHeight="1" s="134">
      <c r="A21" s="197" t="n">
        <v>10</v>
      </c>
      <c r="B21" s="193" t="inlineStr">
        <is>
          <t>LinkedIn ABM TOP 100 scaling test (€600/month, MQL to SQL) (1213503852950669)</t>
        </is>
      </c>
      <c r="C21" s="201" t="inlineStr">
        <is>
          <t>EN+ES+FR / Strategy framework</t>
        </is>
      </c>
      <c r="D21" s="198" t="inlineStr">
        <is>
          <t>Backlog on both boards</t>
        </is>
      </c>
      <c r="E21" s="230" t="inlineStr">
        <is>
          <t>GREEN (re-time to post-15 June)</t>
        </is>
      </c>
      <c r="F21" s="198" t="inlineStr">
        <is>
          <t>This task IS the new ABM approach: "blend TOP 100 accounts with a broader segment to reach 50k+ minimum audience size. Pure TOP 100 gives 2-3x CPC and 2x CTR without better lead outcomes." Aligned with Sebastian post-review pivot. Becomes the framework for the rescued FR Easilys + UK video campaigns.</t>
        </is>
      </c>
      <c r="G21" s="198" t="inlineStr">
        <is>
          <t>Keep on board. Re-time due date to post-15 June (owner role activation). Connect to the rescued campaigns via task notes as the framework reference.</t>
        </is>
      </c>
      <c r="H21" s="198" t="inlineStr">
        <is>
          <t>No new budget. Frames how rescued campaigns are measured.</t>
        </is>
      </c>
    </row>
    <row r="22" ht="99.75" customHeight="1" s="134">
      <c r="A22" s="197" t="n">
        <v>11</v>
      </c>
      <c r="B22" s="193" t="inlineStr">
        <is>
          <t>Blog 1 ads for TOP 100 (QSR/FSR) as Feed Ads (1213631050820139)</t>
        </is>
      </c>
      <c r="C22" s="201" t="inlineStr">
        <is>
          <t>UK / Flow</t>
        </is>
      </c>
      <c r="D22" s="198" t="inlineStr">
        <is>
          <t>Done — already shipped</t>
        </is>
      </c>
      <c r="E22" s="197" t="inlineStr">
        <is>
          <t>N/A</t>
        </is>
      </c>
      <c r="F22" s="198" t="inlineStr">
        <is>
          <t>Already shipped. Was the predecessor to Blog 2. Same UK Flow product. Stayed live during the ABM pause as far as can be told from audit data.</t>
        </is>
      </c>
      <c r="G22" s="198" t="inlineStr">
        <is>
          <t>No action. Note in master sheet that this is the historical predecessor to incoming Blog 2 brief.</t>
        </is>
      </c>
      <c r="H22" s="198" t="inlineStr">
        <is>
          <t>Already booked.</t>
        </is>
      </c>
    </row>
    <row r="23" ht="99.75" customHeight="1" s="134">
      <c r="A23" s="197" t="n">
        <v>12</v>
      </c>
      <c r="B23" s="193" t="inlineStr">
        <is>
          <t>Fix tracking issues on ES ABM TOP 100 (1214912559989016)</t>
        </is>
      </c>
      <c r="C23" s="201" t="inlineStr">
        <is>
          <t>ES / Workforce</t>
        </is>
      </c>
      <c r="D23" s="198" t="inlineStr">
        <is>
          <t>Done</t>
        </is>
      </c>
      <c r="E23" s="197" t="inlineStr">
        <is>
          <t>N/A</t>
        </is>
      </c>
      <c r="F23" s="198" t="inlineStr">
        <is>
          <t>Already completed. Reactivated LANDING EBOOK conversion + flagged numeric utm_source issue for the broader UTM task.</t>
        </is>
      </c>
      <c r="G23" s="198" t="inlineStr">
        <is>
          <t>No action.</t>
        </is>
      </c>
      <c r="H23" s="198" t="inlineStr">
        <is>
          <t>Already booked.</t>
        </is>
      </c>
    </row>
    <row r="24" ht="99.75" customHeight="1" s="134">
      <c r="A24" s="197" t="n">
        <v>13</v>
      </c>
      <c r="B24" s="193" t="inlineStr">
        <is>
          <t>LinkedIn attribution sweep (1214913860979224)</t>
        </is>
      </c>
      <c r="C24" s="201" t="inlineStr">
        <is>
          <t>Cross-channel / Strategy</t>
        </is>
      </c>
      <c r="D24" s="198" t="inlineStr">
        <is>
          <t>Backlog both boards</t>
        </is>
      </c>
      <c r="E24" s="230" t="inlineStr">
        <is>
          <t>GREEN</t>
        </is>
      </c>
      <c r="F24" s="198" t="inlineStr">
        <is>
          <t>Direct audit work — feeds the UTM convention task and master sheet findings. Not technically ABM but adjacent.</t>
        </is>
      </c>
      <c r="G24" s="198" t="inlineStr">
        <is>
          <t>Keep as-is. Already covered by ongoing audit work.</t>
        </is>
      </c>
      <c r="H24" s="198" t="inlineStr">
        <is>
          <t>No budget impact.</t>
        </is>
      </c>
    </row>
    <row r="25" ht="15.75" customHeight="1" s="134"/>
    <row r="26" ht="24.75" customHeight="1" s="134">
      <c r="A26" s="187" t="inlineStr">
        <is>
          <t>BUDGET IMPACT SUMMARY (decisions above)</t>
        </is>
      </c>
    </row>
    <row r="27" ht="27.75" customHeight="1" s="134">
      <c r="A27" s="148" t="inlineStr">
        <is>
          <t>Item</t>
        </is>
      </c>
      <c r="B27" s="158" t="n"/>
      <c r="C27" s="159" t="n"/>
      <c r="D27" s="148" t="inlineStr">
        <is>
          <t>Impact</t>
        </is>
      </c>
      <c r="E27" s="148" t="inlineStr">
        <is>
          <t>Notes</t>
        </is>
      </c>
      <c r="F27" s="148" t="n"/>
      <c r="G27" s="148" t="n"/>
      <c r="H27" s="148" t="inlineStr">
        <is>
          <t>Type</t>
        </is>
      </c>
    </row>
    <row r="28" ht="49.5" customHeight="1" s="134">
      <c r="A28" s="198" t="inlineStr">
        <is>
          <t>Kill 4x InMail narrow Top-100 plays</t>
        </is>
      </c>
      <c r="B28" s="158" t="n"/>
      <c r="C28" s="159" t="n"/>
      <c r="D28" s="231" t="inlineStr">
        <is>
          <t>€3,600</t>
        </is>
      </c>
      <c r="E28" s="198" t="inlineStr">
        <is>
          <t>one-time scheduled spend saved (4 × €900 each over launch windows). All confirmed waste per FR Play-1 audit evidence.</t>
        </is>
      </c>
      <c r="F28" s="158" t="n"/>
      <c r="G28" s="159" t="n"/>
      <c r="H28" s="203" t="inlineStr">
        <is>
          <t>GREEN</t>
        </is>
      </c>
    </row>
    <row r="29" ht="49.5" customHeight="1" s="134">
      <c r="A29" s="198" t="inlineStr">
        <is>
          <t>Consolidate 3x PPC Easilys video plays into 1 broader-audience campaign</t>
        </is>
      </c>
      <c r="B29" s="158" t="n"/>
      <c r="C29" s="159" t="n"/>
      <c r="D29" s="231" t="inlineStr">
        <is>
          <t>€3,600 saved + 1 active campaign</t>
        </is>
      </c>
      <c r="E29" s="198" t="inlineStr">
        <is>
          <t>Originally €1,800 × 3 plays = €5,400. Consolidated to single €600-900/mo broader-audience campaign with creative variants as A/B. Net saving €4,500-€4,800 of planned spend.</t>
        </is>
      </c>
      <c r="F29" s="158" t="n"/>
      <c r="G29" s="159" t="n"/>
      <c r="H29" s="203" t="inlineStr">
        <is>
          <t>GREEN</t>
        </is>
      </c>
    </row>
    <row r="30" ht="49.5" customHeight="1" s="134">
      <c r="A30" s="198" t="inlineStr">
        <is>
          <t>Reduce UK A/B video test budget to actually-effective level</t>
        </is>
      </c>
      <c r="B30" s="158" t="n"/>
      <c r="C30" s="159" t="n"/>
      <c r="D30" s="231" t="inlineStr">
        <is>
          <t>Net new ~€700/month on broader UK Flow audience</t>
        </is>
      </c>
      <c r="E30" s="198" t="inlineStr">
        <is>
          <t>Replaces frozen blocked task. Higher lead probability than cold-start narrow audience.</t>
        </is>
      </c>
      <c r="F30" s="158" t="n"/>
      <c r="G30" s="159" t="n"/>
      <c r="H30" s="232" t="inlineStr">
        <is>
          <t>YELLOW</t>
        </is>
      </c>
    </row>
    <row r="31" ht="49.5" customHeight="1" s="134">
      <c r="A31" s="198" t="inlineStr">
        <is>
          <t>Layer UK Blog 2 ads when brief lands</t>
        </is>
      </c>
      <c r="B31" s="158" t="n"/>
      <c r="C31" s="159" t="n"/>
      <c r="D31" s="231" t="inlineStr">
        <is>
          <t>Net new ~€400/month</t>
        </is>
      </c>
      <c r="E31" s="198" t="inlineStr">
        <is>
          <t>Incremental. Layers with video test.</t>
        </is>
      </c>
      <c r="F31" s="158" t="n"/>
      <c r="G31" s="159" t="n"/>
      <c r="H31" s="232" t="inlineStr">
        <is>
          <t>YELLOW</t>
        </is>
      </c>
    </row>
    <row r="32" ht="49.5" customHeight="1" s="134">
      <c r="A32" s="193" t="inlineStr">
        <is>
          <t>TOTAL FORWARD SAVING (vs original plan)</t>
        </is>
      </c>
      <c r="B32" s="158" t="n"/>
      <c r="C32" s="159" t="n"/>
      <c r="D32" s="231" t="inlineStr">
        <is>
          <t>~€7,000-€8,000 of planned spend over next 90 days</t>
        </is>
      </c>
      <c r="E32" s="198" t="inlineStr">
        <is>
          <t>Roughly €28,000-€32,000 annualised if all kills sustained. Realistic 12-month after applying tracking-fix haircut: €10,000-€16,000.</t>
        </is>
      </c>
      <c r="F32" s="158" t="n"/>
      <c r="G32" s="159" t="n"/>
      <c r="H32" s="203" t="inlineStr">
        <is>
          <t>GREEN</t>
        </is>
      </c>
    </row>
    <row r="33" ht="49.5" customHeight="1" s="134">
      <c r="A33" s="193" t="inlineStr">
        <is>
          <t>TOTAL NEW SPEND on rescued campaigns</t>
        </is>
      </c>
      <c r="B33" s="158" t="n"/>
      <c r="C33" s="159" t="n"/>
      <c r="D33" s="231" t="inlineStr">
        <is>
          <t>~€1,300-€2,100/month combined</t>
        </is>
      </c>
      <c r="E33" s="198" t="inlineStr">
        <is>
          <t>UK video (€700) + UK blog (€400) + FR Easilys consolidated (€600-900). Smaller than what was being killed.</t>
        </is>
      </c>
      <c r="F33" s="158" t="n"/>
      <c r="G33" s="159" t="n"/>
      <c r="H33" s="232" t="inlineStr">
        <is>
          <t>YELLOW</t>
        </is>
      </c>
    </row>
    <row r="34" ht="49.5" customHeight="1" s="134">
      <c r="A34" s="193" t="inlineStr">
        <is>
          <t>NET POSITION</t>
        </is>
      </c>
      <c r="B34" s="158" t="n"/>
      <c r="C34" s="159" t="n"/>
      <c r="D34" s="231" t="inlineStr">
        <is>
          <t>Saving ~€2,500-€3,500/month vs original ABM plan</t>
        </is>
      </c>
      <c r="E34" s="198" t="inlineStr">
        <is>
          <t>And still delivering active campaigns to Sebastian / Rosie / Harry / UK + FR teams.</t>
        </is>
      </c>
      <c r="F34" s="158" t="n"/>
      <c r="G34" s="159" t="n"/>
      <c r="H34" s="203" t="inlineStr">
        <is>
          <t>GREEN</t>
        </is>
      </c>
    </row>
    <row r="35" ht="15.75" customHeight="1" s="134"/>
    <row r="36" ht="24.75" customHeight="1" s="134">
      <c r="A36" s="187" t="inlineStr">
        <is>
          <t>DEFENCE PLAYBOOK (if Sebastian or anyone pushes back)</t>
        </is>
      </c>
    </row>
    <row r="37" ht="90" customHeight="1" s="134">
      <c r="A37" s="167" t="inlineStr">
        <is>
          <t>"Why are you killing the InMail campaigns?"</t>
        </is>
      </c>
      <c r="B37" s="159" t="n"/>
      <c r="C37" s="151" t="inlineStr">
        <is>
          <t>Audit data: FR Play-1 InMail Top-100 spent €441 over 90 days with 0 attributed leads. The audience was 3,400 members against a LinkedIn-recommended minimum of 50,000. Lead MQL conversion event has been Inactive for 4+ weeks. Running 3 more InMail plays of the same setup is committing €3,600 to the same outcome. After our LinkedIn review you indicated wider audience or campaign combination to build scale — these InMail Top-100 plays do not fit that direction.</t>
        </is>
      </c>
      <c r="D37" s="158" t="n"/>
      <c r="E37" s="158" t="n"/>
      <c r="F37" s="158" t="n"/>
      <c r="G37" s="158" t="n"/>
      <c r="H37" s="159" t="n"/>
    </row>
    <row r="38" ht="90" customHeight="1" s="134">
      <c r="A38" s="167" t="inlineStr">
        <is>
          <t>"Why are you reducing the FR Easilys plays?"</t>
        </is>
      </c>
      <c r="B38" s="159" t="n"/>
      <c r="C38" s="151" t="inlineStr">
        <is>
          <t>Not reducing — consolidating. The 3 video creatives Plays 1+2+3 are good. The original plan was €5,400 total against 3 separate narrow Top-100 lists, all with the same wrong-vertical issue. The consolidated version uses the same 3 creatives as A/B variants against a broader 1.28M FR Easilys ICP audience (the FR TOP 100 Accounts v2 audience that already exists in our LinkedIn account and was sitting unused). Same creative quality, smarter audience, €600/mo instead of €5,400.</t>
        </is>
      </c>
      <c r="D38" s="158" t="n"/>
      <c r="E38" s="158" t="n"/>
      <c r="F38" s="158" t="n"/>
      <c r="G38" s="158" t="n"/>
      <c r="H38" s="159" t="n"/>
    </row>
    <row r="39" ht="90" customHeight="1" s="134">
      <c r="A39" s="167" t="inlineStr">
        <is>
          <t>"Why is the UK A/B video test still going ahead but the others arent?"</t>
        </is>
      </c>
      <c r="B39" s="159" t="n"/>
      <c r="C39" s="151" t="inlineStr">
        <is>
          <t>Because the UK A/B test creative is right (UK Flow flagship, QHotels case study, 4-ad matrix already built) — only the audience approach needed fixing. I am not blocking it. I am running it against a broader UK Flow ICP audience instead of the narrow Top-100 ABM list, in line with the wider-scale direction you indicated. Same applies to the FR Easilys video plays.</t>
        </is>
      </c>
      <c r="D39" s="158" t="n"/>
      <c r="E39" s="158" t="n"/>
      <c r="F39" s="158" t="n"/>
      <c r="G39" s="158" t="n"/>
      <c r="H39" s="159" t="n"/>
    </row>
    <row r="40" ht="90" customHeight="1" s="134">
      <c r="A40" s="167" t="inlineStr">
        <is>
          <t>"How do we know broader audience works?"</t>
        </is>
      </c>
      <c r="B40" s="159" t="n"/>
      <c r="C40" s="151" t="inlineStr">
        <is>
          <t>The FR Fab Lead Form campaign on LinkedIn is the controlled experiment. Same Easilys offer, same Lead Gen Form. Broad 22K audience: 3 leads at €148 CPL over 30 days. Narrow Top-100 filter on the same offer: 0 leads at similar spend. Same account, same product, same creative, only the audience size different. The data exists in our LinkedIn account and is verifiable.</t>
        </is>
      </c>
      <c r="D40" s="158" t="n"/>
      <c r="E40" s="158" t="n"/>
      <c r="F40" s="158" t="n"/>
      <c r="G40" s="158" t="n"/>
      <c r="H40" s="159" t="n"/>
    </row>
    <row r="41" ht="90" customHeight="1" s="134">
      <c r="A41" s="167" t="inlineStr">
        <is>
          <t>"What if Zibi or Sebastian want to see the original plan run anyway?"</t>
        </is>
      </c>
      <c r="B41" s="159" t="n"/>
      <c r="C41" s="151" t="inlineStr">
        <is>
          <t>Decision is theirs to make. The audit data, the FR Fab controlled experiment, and Sebastian own post-review pivot all point the same direction. Zibi explicitly said "do not feel we must do those, there will be a pressure for sure but better to do it right vs waste precious budget." That is the cover. Use it.</t>
        </is>
      </c>
      <c r="D41" s="158" t="n"/>
      <c r="E41" s="158" t="n"/>
      <c r="F41" s="158" t="n"/>
      <c r="G41" s="158" t="n"/>
      <c r="H41" s="159" t="n"/>
    </row>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mergeCells count="39">
    <mergeCell ref="E28:G28"/>
    <mergeCell ref="C41:H41"/>
    <mergeCell ref="C40:H40"/>
    <mergeCell ref="E31:G31"/>
    <mergeCell ref="A27:C27"/>
    <mergeCell ref="E34:G34"/>
    <mergeCell ref="A36:H36"/>
    <mergeCell ref="E30:G30"/>
    <mergeCell ref="A1:H1"/>
    <mergeCell ref="A6:B6"/>
    <mergeCell ref="A33:C33"/>
    <mergeCell ref="A7:B7"/>
    <mergeCell ref="A32:C32"/>
    <mergeCell ref="A41:B41"/>
    <mergeCell ref="A37:B37"/>
    <mergeCell ref="C39:H39"/>
    <mergeCell ref="C8:H8"/>
    <mergeCell ref="A29:C29"/>
    <mergeCell ref="C7:H7"/>
    <mergeCell ref="A28:C28"/>
    <mergeCell ref="E32:G32"/>
    <mergeCell ref="A26:H26"/>
    <mergeCell ref="C38:H38"/>
    <mergeCell ref="A2:H2"/>
    <mergeCell ref="A31:C31"/>
    <mergeCell ref="C37:H37"/>
    <mergeCell ref="A5:B5"/>
    <mergeCell ref="A30:C30"/>
    <mergeCell ref="A34:C34"/>
    <mergeCell ref="A8:B8"/>
    <mergeCell ref="A4:H4"/>
    <mergeCell ref="C6:H6"/>
    <mergeCell ref="A38:B38"/>
    <mergeCell ref="E33:G33"/>
    <mergeCell ref="C5:H5"/>
    <mergeCell ref="A10:H10"/>
    <mergeCell ref="A40:B40"/>
    <mergeCell ref="E29:G29"/>
    <mergeCell ref="A39:B39"/>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G8"/>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baseColWidth="8" defaultColWidth="14.43359375" defaultRowHeight="15" zeroHeight="0" outlineLevelRow="0"/>
  <cols>
    <col width="18" customWidth="1" style="133" min="1" max="1"/>
    <col width="22" customWidth="1" style="133" min="2" max="2"/>
    <col width="30" customWidth="1" style="133" min="3" max="5"/>
    <col width="35" customWidth="1" style="133" min="6" max="7"/>
    <col width="8.710000000000001" customWidth="1" style="133" min="8" max="26"/>
  </cols>
  <sheetData>
    <row r="1" ht="19.5" customHeight="1" s="134">
      <c r="A1" s="168" t="inlineStr">
        <is>
          <t>Product-Market Readiness Map</t>
        </is>
      </c>
    </row>
    <row r="2" ht="30" customHeight="1" s="134">
      <c r="A2" s="140" t="inlineStr">
        <is>
          <t>Source: May 22 strategy meeting with Zibi (whiteboard). This map filters every audit recommendation. Do NOT recommend scaling spend on a product that is not market-ready in that market.</t>
        </is>
      </c>
    </row>
    <row r="3"/>
    <row r="4" ht="15" customHeight="1" s="134">
      <c r="A4" s="233" t="inlineStr">
        <is>
          <t>Market</t>
        </is>
      </c>
      <c r="B4" s="233" t="inlineStr">
        <is>
          <t>Owner (GMM)</t>
        </is>
      </c>
      <c r="C4" s="233" t="inlineStr">
        <is>
          <t>Flagship</t>
        </is>
      </c>
      <c r="D4" s="233" t="inlineStr">
        <is>
          <t>Secondary</t>
        </is>
      </c>
      <c r="E4" s="233" t="inlineStr">
        <is>
          <t>Cross-sell / Pilot</t>
        </is>
      </c>
      <c r="F4" s="233" t="inlineStr">
        <is>
          <t>Skip / Wait / Out of scope</t>
        </is>
      </c>
      <c r="G4" s="233" t="inlineStr">
        <is>
          <t>Notes</t>
        </is>
      </c>
    </row>
    <row r="5" ht="120" customHeight="1" s="134">
      <c r="A5" s="234" t="inlineStr">
        <is>
          <t>UK</t>
        </is>
      </c>
      <c r="B5" s="234" t="inlineStr">
        <is>
          <t>Ash Millar (Hotels + UK QSR/FSR)</t>
        </is>
      </c>
      <c r="C5" s="234" t="inlineStr">
        <is>
          <t>Flow (hotels primary, QSR/FSR secondary). Features and benefits front-loaded.</t>
        </is>
      </c>
      <c r="D5" s="234" t="inlineStr">
        <is>
          <t>Compliance (enterprise hotels only, low-volume high-value)</t>
        </is>
      </c>
      <c r="E5" s="234" t="inlineStr">
        <is>
          <t>Engagement via remarketing to Flow LP visitors (addon, not standalone acquisition product)</t>
        </is>
      </c>
      <c r="F5" s="234" t="inlineStr">
        <is>
          <t>Workforce, Easilys, Inpulse (NOT in 2026 UK product play)</t>
        </is>
      </c>
      <c r="G5" s="234" t="inlineStr">
        <is>
          <t>Brand defence on Mapal terms is for protecting Flow flagship. Unpause is critical.</t>
        </is>
      </c>
    </row>
    <row r="6" ht="120" customHeight="1" s="134">
      <c r="A6" s="234" t="inlineStr">
        <is>
          <t>Iberia (Spain + LATAM)</t>
        </is>
      </c>
      <c r="B6" s="234" t="inlineStr">
        <is>
          <t>Gema Ruiz (Global QSR/FSR)</t>
        </is>
      </c>
      <c r="C6" s="234" t="inlineStr">
        <is>
          <t>Workforce (enterprise + QSR — strongest local product play)</t>
        </is>
      </c>
      <c r="D6" s="234" t="inlineStr">
        <is>
          <t>Flow (ES version, adapted messaging, lighter feature claims than UK)</t>
        </is>
      </c>
      <c r="E6" s="234" t="inlineStr">
        <is>
          <t>Compliance test pilot (small budget, 8-week kill rule if no SQL)</t>
        </is>
      </c>
      <c r="F6" s="234" t="inlineStr">
        <is>
          <t>Engagement (wait until Flow matures locally)</t>
        </is>
      </c>
      <c r="G6" s="234" t="inlineStr">
        <is>
          <t>Workforce-ES Search mobile issue is the priority fix here. Workforce IS the IB flagship, so keep desktop/tablet running while we pause mobile.</t>
        </is>
      </c>
    </row>
    <row r="7" ht="120" customHeight="1" s="134">
      <c r="A7" s="234" t="inlineStr">
        <is>
          <t>France</t>
        </is>
      </c>
      <c r="B7" s="234" t="inlineStr">
        <is>
          <t>Alexia (Global CC)</t>
        </is>
      </c>
      <c r="C7" s="234" t="inlineStr">
        <is>
          <t>Easilys for CC / public sector / healthcare (FR commercial play, aligns with 2026 plan to push Easilys in francophone countries + IB)</t>
        </is>
      </c>
      <c r="D7" s="234" t="inlineStr">
        <is>
          <t>Flow (limited like ES, retargeting-led brand build) + Engagement as Flow add-on</t>
        </is>
      </c>
      <c r="E7" s="234" t="inlineStr">
        <is>
          <t>Impulse later (next year, not now) for commercial QSR/FSR</t>
        </is>
      </c>
      <c r="F7" s="234" t="inlineStr">
        <is>
          <t>Workforce NOT in scope (product not ready in France — confirmed 26 May standup)</t>
        </is>
      </c>
      <c r="G7" s="234" t="inlineStr">
        <is>
          <t>Public sector LP needs building (French army, school canteens case studies). LinkedIn job-title targeting + Google Search on procurement / RFP language. Test, do not assume.</t>
        </is>
      </c>
    </row>
    <row r="8" ht="120" customHeight="1" s="134">
      <c r="A8" s="234" t="inlineStr">
        <is>
          <t>Nordics</t>
        </is>
      </c>
      <c r="B8" s="234" t="inlineStr">
        <is>
          <t>Ash Millar (validate)</t>
        </is>
      </c>
      <c r="C8" s="234" t="inlineStr">
        <is>
          <t>None — no dedicated PPC budget for 2026</t>
        </is>
      </c>
      <c r="D8" s="234" t="inlineStr">
        <is>
          <t>—</t>
        </is>
      </c>
      <c r="E8" s="234" t="inlineStr">
        <is>
          <t>Piggyback on UK Flow campaigns with geo-extension only</t>
        </is>
      </c>
      <c r="F8" s="234" t="inlineStr">
        <is>
          <t>2026 commercial plan focuses on UK, IB, FR, Global CC, Key Accounts, LATAM</t>
        </is>
      </c>
      <c r="G8" s="234" t="inlineStr">
        <is>
          <t>Validate piggyback assumption with Ash.</t>
        </is>
      </c>
    </row>
    <row r="21" ht="15.75" customHeight="1" s="134"/>
    <row r="22" ht="15.75" customHeight="1" s="134"/>
    <row r="23" ht="15.75" customHeight="1" s="134"/>
    <row r="24" ht="15.75" customHeight="1" s="134"/>
    <row r="25" ht="15.75" customHeight="1" s="134"/>
    <row r="26" ht="15.75" customHeight="1" s="134"/>
    <row r="27" ht="15.75" customHeight="1" s="134"/>
    <row r="28" ht="15.75" customHeight="1" s="134"/>
    <row r="29" ht="15.75" customHeight="1" s="134"/>
    <row r="30" ht="15.75" customHeight="1" s="134"/>
    <row r="31" ht="15.75" customHeight="1" s="134"/>
    <row r="32" ht="15.75" customHeight="1" s="134"/>
    <row r="33" ht="15.75" customHeight="1" s="134"/>
    <row r="34" ht="15.75" customHeight="1" s="134"/>
    <row r="35" ht="15.75" customHeight="1" s="134"/>
    <row r="36" ht="15.75" customHeight="1" s="134"/>
    <row r="37" ht="15.75" customHeight="1" s="134"/>
    <row r="38" ht="15.75" customHeight="1" s="134"/>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mergeCells count="2">
    <mergeCell ref="A2:G2"/>
    <mergeCell ref="A1:G1"/>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I30"/>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baseColWidth="8" defaultColWidth="14.43359375" defaultRowHeight="15" zeroHeight="0" outlineLevelRow="0"/>
  <cols>
    <col width="5" customWidth="1" style="133" min="1" max="1"/>
    <col width="13.57" customWidth="1" style="133" min="2" max="2"/>
    <col width="55.43" customWidth="1" style="133" min="3" max="3"/>
    <col width="11" customWidth="1" style="133" min="4" max="4"/>
    <col width="71.70999999999999" customWidth="1" style="133" min="5" max="5"/>
    <col width="73" customWidth="1" style="133" min="6" max="6"/>
    <col width="10" customWidth="1" style="133" min="7" max="7"/>
    <col width="16" customWidth="1" style="133" min="8" max="9"/>
    <col width="8.710000000000001" customWidth="1" style="133" min="10" max="26"/>
  </cols>
  <sheetData>
    <row r="1" ht="19.5" customHeight="1" s="134">
      <c r="A1" s="168" t="inlineStr">
        <is>
          <t>Google Ads — Findings</t>
        </is>
      </c>
    </row>
    <row r="2" ht="30" customHeight="1" s="134">
      <c r="A2" s="140" t="inlineStr">
        <is>
          <t>Source: 8 Chrome extension audit sessions, 25 May. France master sheet earlier built locally. Account IDs: France 908-324-1950, Spain 306-126-9544, UK 511-997-3456, Nordics 973-786-4860 (dormant).</t>
        </is>
      </c>
    </row>
    <row r="3" ht="109.5" customHeight="1" s="134">
      <c r="A3" s="169" t="n">
        <v>1</v>
      </c>
      <c r="B3" s="149" t="inlineStr">
        <is>
          <t>All</t>
        </is>
      </c>
      <c r="C3" s="151" t="inlineStr">
        <is>
          <t>NEW CONTRACTOR IDENTITY: tceclickboost@gmail.com had/has FR account access. Created 2 budget rules in Dec 2022 / Jan 2023. Fourth personal-Gmail contractor surfaced.</t>
        </is>
      </c>
      <c r="D3" s="170" t="inlineStr">
        <is>
          <t>CRITICAL</t>
        </is>
      </c>
      <c r="E3" s="151" t="inlineStr">
        <is>
          <t>TCE-ClickBoost agency Gmail. Rules: "Reduce Budget" (set €10 on 3 FR campaigns, Dec 22 2022) and "Increase Budgets Jan2023" (set €90 on 2 FR campaigns, Jan 8 2023). Both one-time rules already executed. Creator still listed in rules history. Need Admin &gt; Access check to confirm if still has account access on FR (or other accounts).</t>
        </is>
      </c>
      <c r="F3" s="151" t="inlineStr">
        <is>
          <t>Escalate to Zibi: verify if tceclickboost@gmail.com still has access on any Mapal Google Ads account, and revoke if so. Same revocation pass as Lukas + Fabrice + Javier. Archive the 2 stale 2022-2023 rules.</t>
        </is>
      </c>
      <c r="G3" s="149" t="inlineStr">
        <is>
          <t>Low (Zibi action)</t>
        </is>
      </c>
      <c r="H3" s="151" t="inlineStr">
        <is>
          <t>Governance</t>
        </is>
      </c>
      <c r="I3" s="151" t="inlineStr">
        <is>
          <t>BLOCKING — escalate to Zibi</t>
        </is>
      </c>
    </row>
    <row r="4" ht="109.5" customHeight="1" s="134">
      <c r="A4" s="235" t="n">
        <v>2</v>
      </c>
      <c r="B4" s="236" t="inlineStr">
        <is>
          <t>UK</t>
        </is>
      </c>
      <c r="C4" s="237" t="inlineStr">
        <is>
          <t>Lukas UK budget oscillation pattern across 90 days. ~24 distinct budget change events. Suggests unmonitored editing.</t>
        </is>
      </c>
      <c r="D4" s="172" t="inlineStr">
        <is>
          <t>HIGH</t>
        </is>
      </c>
      <c r="E4" s="237" t="inlineStr">
        <is>
          <t>Apr 21: decrease cycle across 9+ GROW campaigns (Compliance, Flow-Scale, Mapal-Scale, Food Compliance, CORE-Flow, Mapal-Hospitality, Performance Max Flow, Flow-Hospitality, Compliance-New, Flow-Scale). May 7: restore cycle (3 budget increases on Compliance-New, Food Compliance, Flow-Scale). May 22 ~13:10: further increase cycle (7+ consecutive budget amount increased events). Per-row €€ deltas not captured (would require expanding each row).</t>
        </is>
      </c>
      <c r="F4" s="237" t="inlineStr">
        <is>
          <t>Decision needed: investigate intent OR accept as historical context. Recommend pulling Budget-filtered change history CSV with row expansion to get actual €€ deltas. If pattern is testing without disclosure, governance concern. If it is normal monthly optimization, document and move on.</t>
        </is>
      </c>
      <c r="G4" s="236" t="inlineStr">
        <is>
          <t>Medium</t>
        </is>
      </c>
      <c r="H4" s="237" t="inlineStr">
        <is>
          <t>Governance</t>
        </is>
      </c>
      <c r="I4" s="237" t="inlineStr">
        <is>
          <t>Investigate / decide</t>
        </is>
      </c>
    </row>
    <row r="5" ht="109.5" customHeight="1" s="134">
      <c r="A5" s="238" t="n">
        <v>3</v>
      </c>
      <c r="B5" s="239" t="inlineStr">
        <is>
          <t>ES</t>
        </is>
      </c>
      <c r="C5" s="240" t="inlineStr">
        <is>
          <t>Javier ES Display Remarketing audience WIDENED Apr 23. Added 3 genders + 6 age ranges + 10 topics + 1 audience segment + 1 custom audience to (GROW) Display Remarketing-ES.</t>
        </is>
      </c>
      <c r="D5" s="172" t="inlineStr">
        <is>
          <t>HIGH</t>
        </is>
      </c>
      <c r="E5" s="240" t="inlineStr">
        <is>
          <t>Apr 23 2026 ~15:58 single batch by Javier. Opposite direction from focus / ICP-targeting. Then ad group enabled. Specific segment names not captured.</t>
        </is>
      </c>
      <c r="F5" s="240" t="inlineStr">
        <is>
          <t>Audit the resulting audience configuration. If overbroad, narrow back to Mapal ICP. Confirm whether the Display Remarketing-ES is now spending against unqualified traffic.</t>
        </is>
      </c>
      <c r="G5" s="239" t="inlineStr">
        <is>
          <t>Medium</t>
        </is>
      </c>
      <c r="H5" s="240" t="inlineStr">
        <is>
          <t>ES Workforce</t>
        </is>
      </c>
      <c r="I5" s="240" t="inlineStr">
        <is>
          <t>Audit + decide</t>
        </is>
      </c>
    </row>
    <row r="6" ht="109.5" customHeight="1" s="134">
      <c r="A6" s="238" t="n">
        <v>4</v>
      </c>
      <c r="B6" s="239" t="inlineStr">
        <is>
          <t>ES</t>
        </is>
      </c>
      <c r="C6" s="240" t="inlineStr">
        <is>
          <t>ES Recommendations Auto-Apply is ON. Silent Google-side targeting expansion applied Apr 10 + Apr 11 to 4 Display campaigns without contractor review.</t>
        </is>
      </c>
      <c r="D6" s="172" t="inlineStr">
        <is>
          <t>HIGH</t>
        </is>
      </c>
      <c r="E6" s="240" t="inlineStr">
        <is>
          <t>Recommendations Auto-Apply applied "Display targeting expansion" recommendation, auto-changing ad groups on (GROW) Display Workforce-ES, (GROW) Display Compliance-ES, (GROW) Display Easilys-ES, (GROW) Display Flow-ES. This is Google-driven automation modifying campaign targeting silently.</t>
        </is>
      </c>
      <c r="F6" s="240" t="inlineStr">
        <is>
          <t>Disable Recommendations Auto-Apply across all 3 accounts (UK + ES + FR). Manual review of each recommendation should be the policy.</t>
        </is>
      </c>
      <c r="G6" s="239" t="inlineStr">
        <is>
          <t>Low</t>
        </is>
      </c>
      <c r="H6" s="240" t="inlineStr">
        <is>
          <t>All accounts</t>
        </is>
      </c>
      <c r="I6" s="240" t="inlineStr">
        <is>
          <t>Disable auto-apply</t>
        </is>
      </c>
    </row>
    <row r="7" ht="109.5" customHeight="1" s="134">
      <c r="A7" s="238" t="n">
        <v>5</v>
      </c>
      <c r="B7" s="239" t="inlineStr">
        <is>
          <t>All</t>
        </is>
      </c>
      <c r="C7" s="240" t="inlineStr">
        <is>
          <t>Silent system auto-pause events: ES May 20 auto-paused 48 phrase match KWs / FR Mar 26 auto-paused 69 phrase match KWs.</t>
        </is>
      </c>
      <c r="D7" s="241" t="inlineStr">
        <is>
          <t>INSIGHT</t>
        </is>
      </c>
      <c r="E7" s="240" t="inlineStr">
        <is>
          <t>User: "Low activity system bulk change" (Google internal automation). ES May 20 03:24 across 7 campaigns / 10 ad groups. FR Mar 26 04:38 across 8 campaigns / 31 ad groups. UK had no such event in the 90-day window.</t>
        </is>
      </c>
      <c r="F7" s="240" t="inlineStr">
        <is>
          <t>Document but no action needed. Google auto-pauses low-activity keywords by design. Worth knowing it is happening if a search-volume question arises.</t>
        </is>
      </c>
      <c r="G7" s="239" t="inlineStr">
        <is>
          <t>None</t>
        </is>
      </c>
      <c r="H7" s="240" t="inlineStr">
        <is>
          <t>Awareness</t>
        </is>
      </c>
      <c r="I7" s="240" t="inlineStr">
        <is>
          <t>Documented</t>
        </is>
      </c>
    </row>
    <row r="8" ht="109.5" customHeight="1" s="134">
      <c r="A8" s="238" t="n">
        <v>6</v>
      </c>
      <c r="B8" s="239" t="inlineStr">
        <is>
          <t>All</t>
        </is>
      </c>
      <c r="C8" s="240" t="inlineStr">
        <is>
          <t>HubSpot Google Ads integration writes back to campaign records. Apr 28 batches via mapalmarketing@gmail.com Google Ads API touched 8 UK + 6 ES + 5 FR campaigns same day.</t>
        </is>
      </c>
      <c r="D8" s="241" t="inlineStr">
        <is>
          <t>INSIGHT</t>
        </is>
      </c>
      <c r="E8" s="240" t="inlineStr">
        <is>
          <t>UK 08:15 / ES 09:15 / FR 10:15. Same date, sequential by account. mapalmarketing@gmail.com via Google Ads API. Touched Customer + Customer manager + multiple campaigns each batch. This is the HubSpot Marketing Hub - Google Ads integration writing back, not just reading.</t>
        </is>
      </c>
      <c r="F8" s="240" t="inlineStr">
        <is>
          <t>Important for the UTM and Campaign Links work: HubSpot integration is bi-directional, so URL parameter changes need to consider what HubSpot pushes back. Confirm with Andy.</t>
        </is>
      </c>
      <c r="G8" s="239" t="inlineStr">
        <is>
          <t>None</t>
        </is>
      </c>
      <c r="H8" s="240" t="inlineStr">
        <is>
          <t>UTM work context</t>
        </is>
      </c>
      <c r="I8" s="240" t="inlineStr">
        <is>
          <t>Note for UTM phase</t>
        </is>
      </c>
    </row>
    <row r="9" ht="109.5" customHeight="1" s="134">
      <c r="A9" s="238" t="n">
        <v>7</v>
      </c>
      <c r="B9" s="239" t="inlineStr">
        <is>
          <t>LATAM</t>
        </is>
      </c>
      <c r="C9" s="240" t="inlineStr">
        <is>
          <t>LATAM campaigns confirmed UNDER the ES account. Not a separate Google Ads account.</t>
        </is>
      </c>
      <c r="D9" s="241" t="inlineStr">
        <is>
          <t>INSIGHT</t>
        </is>
      </c>
      <c r="E9" s="240" t="inlineStr">
        <is>
          <t>Javier mobile-app budget decreases May 4 2026 hit "(GROW) Workforce - LATAM" alongside ES campaigns. LATAM has no standalone Google Ads account.</t>
        </is>
      </c>
      <c r="F9" s="240" t="inlineStr">
        <is>
          <t>When discussing market structure: LATAM = inside ES account. Affects how LATAM-specific findings are reported.</t>
        </is>
      </c>
      <c r="G9" s="239" t="inlineStr">
        <is>
          <t>None</t>
        </is>
      </c>
      <c r="H9" s="240" t="inlineStr">
        <is>
          <t>Structure</t>
        </is>
      </c>
      <c r="I9" s="240" t="inlineStr">
        <is>
          <t>Documented</t>
        </is>
      </c>
    </row>
    <row r="10" ht="109.5" customHeight="1" s="134">
      <c r="A10" s="238" t="n">
        <v>8</v>
      </c>
      <c r="B10" s="239" t="inlineStr">
        <is>
          <t>FR</t>
        </is>
      </c>
      <c r="C10" s="240" t="inlineStr">
        <is>
          <t>FR Negative Keyword Lists detail: 5 lists / 672 KWs total. Flagship "Easilys Negatives FR" 542 KWs attached to 26 campaigns.</t>
        </is>
      </c>
      <c r="D10" s="241" t="inlineStr">
        <is>
          <t>INSIGHT</t>
        </is>
      </c>
      <c r="E10" s="240" t="inlineStr">
        <is>
          <t>"Easilys Negatives FR" 542 KWs / 26 campaigns. "Marque Mapal et Easilys" 10 KWs / 26 campaigns. "Negative - global" 10 KWs / 26 campaigns. "Negative List - UK - LMS" 35 KWs / 0 campaigns (ORPHAN, UK list inside FR account). "Other brands" 75 KWs / 36 campaigns. Plus account-level negative KW list (Fabrice added 1 broad match Apr 3).</t>
        </is>
      </c>
      <c r="F10" s="240" t="inlineStr">
        <is>
          <t>Stark contrast with UK (0 neg KW lists confirmed prior). The UK-LMS orphan list should be repatriated to UK Google Ads account. Investigate if there is meaningful overlap between FR list contents and what UK is missing.</t>
        </is>
      </c>
      <c r="G10" s="239" t="inlineStr">
        <is>
          <t>Low</t>
        </is>
      </c>
      <c r="H10" s="240" t="inlineStr">
        <is>
          <t>UK + FR governance</t>
        </is>
      </c>
      <c r="I10" s="240" t="inlineStr">
        <is>
          <t>Repatriate UK-LMS list</t>
        </is>
      </c>
    </row>
    <row r="11" ht="109.5" customHeight="1" s="134">
      <c r="A11" s="238" t="n">
        <v>9</v>
      </c>
      <c r="B11" s="239" t="inlineStr">
        <is>
          <t>FR</t>
        </is>
      </c>
      <c r="C11" s="240" t="inlineStr">
        <is>
          <t>FR Placement Exclusion Lists: 3 lists (Display 30,966 / Mobile App 30,299 / YouTube 7,759 placements). Each attached to ONLY 4 campaigns.</t>
        </is>
      </c>
      <c r="D11" s="242" t="inlineStr">
        <is>
          <t>MEDIUM</t>
        </is>
      </c>
      <c r="E11" s="240" t="inlineStr">
        <is>
          <t>Display Placements 30,966 attached to 4 campaigns. Mobile App Placements 30,299 attached to 4 campaigns. YouTube Placements 7,759 attached to 4 campaigns. FR account has 29+ campaigns total. Suggests most Display / YouTube campaigns are running WITHOUT placement exclusions.</t>
        </is>
      </c>
      <c r="F11" s="240" t="inlineStr">
        <is>
          <t>Identify which 4 campaigns each list serves. Confirm all eligible Display / YouTube campaigns are attached. Likely needs attachment to all PMax + Display campaigns.</t>
        </is>
      </c>
      <c r="G11" s="239" t="inlineStr">
        <is>
          <t>Low</t>
        </is>
      </c>
      <c r="H11" s="240" t="inlineStr">
        <is>
          <t>FR hygiene</t>
        </is>
      </c>
      <c r="I11" s="240" t="inlineStr">
        <is>
          <t>Audit attachment coverage</t>
        </is>
      </c>
    </row>
    <row r="12" ht="109.5" customHeight="1" s="134">
      <c r="A12" s="238" t="n">
        <v>10</v>
      </c>
      <c r="B12" s="239" t="inlineStr">
        <is>
          <t>FR</t>
        </is>
      </c>
      <c r="C12" s="240" t="inlineStr">
        <is>
          <t>Fabrice mass-paused 5 FR campaigns + 3 ad groups Apr 3 2026. Plus account-level negative KW added same session.</t>
        </is>
      </c>
      <c r="D12" s="242" t="inlineStr">
        <is>
          <t>MEDIUM</t>
        </is>
      </c>
      <c r="E12" s="240" t="inlineStr">
        <is>
          <t>Apr 3 2026 10:44-12:16 session. Paused: (GROW) Workforce-Scale (x2), GROW Mix-DSA-FR-France, (NURTURE) Compliance-Remarket, (GROW) Compliance-Scale, (GROW) Workforce-Perf Max. Plus 3 ad groups paused on (GROW) MAPAL-Scale (logiciel de caisse, logiciel réservation, logiciel compta). Budget increases on Easilys-Perf-Max and Easilys-Scale variants paired in same session.</t>
        </is>
      </c>
      <c r="F12" s="240" t="inlineStr">
        <is>
          <t>Cross-check with FR campaign inventory: confirm whether the paused campaigns are still paused or were re-enabled. The pivot toward Easilys + away from Workforce/Compliance is consistent with the FR readiness map (Easilys flagship), so this may have been correct direction. Validate intent.</t>
        </is>
      </c>
      <c r="G12" s="239" t="inlineStr">
        <is>
          <t>Low</t>
        </is>
      </c>
      <c r="H12" s="240" t="inlineStr">
        <is>
          <t>FR strategy validation</t>
        </is>
      </c>
      <c r="I12" s="240" t="inlineStr">
        <is>
          <t>Cross-check inventory</t>
        </is>
      </c>
    </row>
    <row r="13" ht="109.5" customHeight="1" s="134">
      <c r="A13" s="238" t="n">
        <v>11</v>
      </c>
      <c r="B13" s="239" t="inlineStr">
        <is>
          <t>UK</t>
        </is>
      </c>
      <c r="C13" s="240" t="inlineStr">
        <is>
          <t>Lukas added significant volumes of negative keywords via Google Ads Editor on UK account. 3 bulk sessions.</t>
        </is>
      </c>
      <c r="D13" s="241" t="inlineStr">
        <is>
          <t>INSIGHT</t>
        </is>
      </c>
      <c r="E13" s="240" t="inlineStr">
        <is>
          <t>May 14: 77 negative phrase + 6 negative broad KWs across 4 campaigns. Apr 7: 8 neg exact + 52 neg broad + 180 neg phrase KWs across 4 campaigns. Apr 2: 32 neg exact across 5 campaigns / 10 ad groups. Mar 31: 17 neg exact on Compliance-New ad groups. Total: 372+ negative KWs added in 90 days.</t>
        </is>
      </c>
      <c r="F13" s="240" t="inlineStr">
        <is>
          <t>No action: the UK account benefits from these adds (UK had 0 shared neg KW lists, all negatives are at ad-group / campaign level). Note the volume in case Lukas access is fully revoked — this is the keyword governance pattern that needs continuing in his absence.</t>
        </is>
      </c>
      <c r="G13" s="239" t="inlineStr">
        <is>
          <t>None</t>
        </is>
      </c>
      <c r="H13" s="240" t="inlineStr">
        <is>
          <t>UK keyword governance</t>
        </is>
      </c>
      <c r="I13" s="240" t="inlineStr">
        <is>
          <t>Continue pattern post-Lukas</t>
        </is>
      </c>
    </row>
    <row r="14" ht="109.5" customHeight="1" s="134">
      <c r="A14" s="238" t="n">
        <v>12</v>
      </c>
      <c r="B14" s="239" t="inlineStr">
        <is>
          <t>All</t>
        </is>
      </c>
      <c r="C14" s="240" t="inlineStr">
        <is>
          <t>Contractor governance summary post-Google change history: 4 personal-Gmail contractors had/have editing rights across the 3 accounts.</t>
        </is>
      </c>
      <c r="D14" s="170" t="inlineStr">
        <is>
          <t>CRITICAL</t>
        </is>
      </c>
      <c r="E14" s="240" t="inlineStr">
        <is>
          <t>UK: Lukas Pangonis (luksius11@gmail.com). ES + LATAM: Javier Romero (marketing@jjromero.com). FR: Fabrice Valtancoli (fabrice@thelead.fr) + TCE-ClickBoost (tceclickboost@gmail.com, surfaced this session). All 4 have edited campaigns / audiences / budgets / negative KWs in the last 90 days OR have stale rules / access. Plus Lukas had Primary Super Admin on both Microsoft Ads accounts.</t>
        </is>
      </c>
      <c r="F14" s="240" t="inlineStr">
        <is>
          <t>Single Zibi escalation: confirm current Admin access status for all 4. Revoke any that should be offboarded post 25-May contractor termination. This is the same governance story as Microsoft Ads but with a 4th name added.</t>
        </is>
      </c>
      <c r="G14" s="239" t="inlineStr">
        <is>
          <t>Low (Zibi)</t>
        </is>
      </c>
      <c r="H14" s="240" t="inlineStr">
        <is>
          <t>Governance</t>
        </is>
      </c>
      <c r="I14" s="240" t="inlineStr">
        <is>
          <t>Escalate to Zibi</t>
        </is>
      </c>
    </row>
    <row r="15" ht="60" customHeight="1" s="134">
      <c r="A15" s="234" t="n">
        <v>13</v>
      </c>
      <c r="B15" s="239" t="inlineStr">
        <is>
          <t>UK</t>
        </is>
      </c>
      <c r="C15" s="234" t="inlineStr">
        <is>
          <t>UK Workforce / Easilys / Inpulse spend should be near zero (out of 2026 UK scope per map)</t>
        </is>
      </c>
      <c r="D15" s="243" t="inlineStr">
        <is>
          <t>MEDIUM</t>
        </is>
      </c>
      <c r="E15" s="234" t="inlineStr">
        <is>
          <t>Map confirms these products not in 2026 UK play.</t>
        </is>
      </c>
      <c r="F15" s="234" t="inlineStr">
        <is>
          <t>Audit UK account for any spend on these product lines. Pause if found.</t>
        </is>
      </c>
      <c r="G15" s="234" t="inlineStr">
        <is>
          <t>S</t>
        </is>
      </c>
      <c r="H15" s="234" t="inlineStr">
        <is>
          <t>NEEDS VERIFICATION</t>
        </is>
      </c>
      <c r="I15" s="234" t="inlineStr">
        <is>
          <t>To verify</t>
        </is>
      </c>
    </row>
    <row r="16" ht="60" customHeight="1" s="134">
      <c r="A16" s="234" t="n">
        <v>14</v>
      </c>
      <c r="B16" s="239" t="inlineStr">
        <is>
          <t>Cross-market</t>
        </is>
      </c>
      <c r="C16" s="234" t="inlineStr">
        <is>
          <t>YoY trends concerning across all 3 markets (Jan-May 26 vs 25)</t>
        </is>
      </c>
      <c r="D16" s="244" t="inlineStr">
        <is>
          <t>HIGH</t>
        </is>
      </c>
      <c r="E16" s="234" t="inlineStr">
        <is>
          <t>UK: Cost +75% / Conv -62% / CPA +360%. Spain: Cost +49% / Conv -65% / CPA +321%. France: Cost +74%.</t>
        </is>
      </c>
      <c r="F16" s="234" t="inlineStr">
        <is>
          <t>This is the context for the audit. Findings 1-11 together address the cost/conv drift. Use as Friday Zibi framing.</t>
        </is>
      </c>
      <c r="G16" s="234" t="inlineStr">
        <is>
          <t>N/A</t>
        </is>
      </c>
      <c r="H16" s="234" t="inlineStr">
        <is>
          <t>N/A (context)</t>
        </is>
      </c>
      <c r="I16" s="234" t="inlineStr">
        <is>
          <t>Frame for Friday</t>
        </is>
      </c>
    </row>
    <row r="17" ht="60" customHeight="1" s="134">
      <c r="A17" s="234" t="n">
        <v>15</v>
      </c>
      <c r="B17" s="239" t="inlineStr">
        <is>
          <t>Cross-market</t>
        </is>
      </c>
      <c r="C17" s="234" t="inlineStr">
        <is>
          <t>Competitive landscape reframed per market — different than assumed</t>
        </is>
      </c>
      <c r="D17" s="243" t="inlineStr">
        <is>
          <t>MEDIUM</t>
        </is>
      </c>
      <c r="E17" s="234" t="inlineStr">
        <is>
          <t>France: Lightspeed dominant (52% abs top), Adoria only real auction rival. Spain: HR/payroll SaaS (tramitapp, factorial), NOT POS — no Lightspeed appearances. UK: LMS/training auction (Absorb beating Mapal 14.97% vs 11.07% IS), NOT workforce SaaS. Zero appearances of Fourth/S4 Labour/Bizimply/Harri/Deputy/RotaCloud anywhere.</t>
        </is>
      </c>
      <c r="F17" s="234" t="inlineStr">
        <is>
          <t>Reframe competitive narrative per market in Q3 strategy. Different competitors per market means different keyword + messaging plays.</t>
        </is>
      </c>
      <c r="G17" s="234" t="inlineStr">
        <is>
          <t>M (strategic)</t>
        </is>
      </c>
      <c r="H17" s="234" t="inlineStr">
        <is>
          <t>Informs map execution</t>
        </is>
      </c>
      <c r="I17" s="234" t="inlineStr">
        <is>
          <t>Strategic input</t>
        </is>
      </c>
    </row>
    <row r="18" ht="60" customHeight="1" s="134">
      <c r="A18" s="234" t="n">
        <v>16</v>
      </c>
      <c r="B18" s="239" t="inlineStr">
        <is>
          <t>Governance</t>
        </is>
      </c>
      <c r="C18" s="234" t="inlineStr">
        <is>
          <t>Account access governance gaps</t>
        </is>
      </c>
      <c r="D18" s="243" t="inlineStr">
        <is>
          <t>MEDIUM</t>
        </is>
      </c>
      <c r="E18" s="234" t="inlineStr">
        <is>
          <t>Lukas had Admin on Spain via personal Gmail. No data protection contacts on ES/UK (GDPR). Timezones inconsistent (FR GMT+2, ES GMT+1, UK GMT+0). Negative keyword lists undersized (UK ZERO list, ES only 42 keywords).</t>
        </is>
      </c>
      <c r="F18" s="234" t="inlineStr">
        <is>
          <t>Master Admin transfer to Zibi in progress. Add data protection contacts. Standardise timezones. Build negative keyword libraries per market.</t>
        </is>
      </c>
      <c r="G18" s="234" t="inlineStr">
        <is>
          <t>M</t>
        </is>
      </c>
      <c r="H18" s="234" t="inlineStr">
        <is>
          <t>N/A (governance)</t>
        </is>
      </c>
      <c r="I18" s="234" t="inlineStr">
        <is>
          <t>In progress</t>
        </is>
      </c>
    </row>
    <row r="19" ht="114.75" customHeight="1" s="134">
      <c r="A19" s="169" t="n">
        <v>17</v>
      </c>
      <c r="B19" s="149" t="inlineStr">
        <is>
          <t>ES</t>
        </is>
      </c>
      <c r="C19" s="151" t="inlineStr">
        <is>
          <t>ES SYSTEMIC MAX CLICKS WASTE: 9 of top 10 campaigns by spend on Maximize Clicks bidding. Account-wide volume-not-value pattern, not just Workforce.</t>
        </is>
      </c>
      <c r="D19" s="170" t="inlineStr">
        <is>
          <t>CRITICAL</t>
        </is>
      </c>
      <c r="E19" s="151" t="inlineStr">
        <is>
          <t>(GROW) Workforce-ES €7,305 / 1 conv = €7,305 effective CPA. (GROW) Easilys-ES €5,131 / 0 conv. (GROW) Compliance-ES €2,587 / 0 conv. (GROW) Workforce-LATAM €2,000 / 0 conv. (GROW) Flow-ES €1,523 / 2 conv. 4 Display campaigns each ~€900 each / 0-1 conv on Max Clicks. Combined ~€22,000 / 90d on Maximize Clicks across these campaigns.</t>
        </is>
      </c>
      <c r="F19" s="151" t="inlineStr">
        <is>
          <t>Switch ES top-spend campaigns from Maximize Clicks to Maximize Conversions or Target CPA once conversion tracking restored. Workforce-ES is the priority — €7,305 CPA cannot continue. Blocks on conversion-signal fix (site dataLayer, ours and the website lead).</t>
        </is>
      </c>
      <c r="G19" s="149" t="inlineStr">
        <is>
          <t>High (after tracking)</t>
        </is>
      </c>
      <c r="H19" s="151" t="inlineStr">
        <is>
          <t>ES Workforce + all ES products</t>
        </is>
      </c>
      <c r="I19" s="151" t="inlineStr">
        <is>
          <t>Blocked on tracking fix</t>
        </is>
      </c>
    </row>
    <row r="20" ht="114.75" customHeight="1" s="134">
      <c r="A20" s="169" t="n">
        <v>18</v>
      </c>
      <c r="B20" s="149" t="inlineStr">
        <is>
          <t>All</t>
        </is>
      </c>
      <c r="C20" s="151" t="inlineStr">
        <is>
          <t>Employment Leisure &amp; Hospitality Jobs audience: 5 of 6 attachments MISMATCHED across UK + FR. Cross-market leak quantified at campaign level.</t>
        </is>
      </c>
      <c r="D20" s="170" t="inlineStr">
        <is>
          <t>CRITICAL</t>
        </is>
      </c>
      <c r="E20" s="151" t="inlineStr">
        <is>
          <t>UK: 3 campaigns. Flow-Scale-New (MISMATCH, 130 clicks attributed), Compliance-New (MISMATCH), Flow-Hospitality Training-New (partial match). FR: 2 campaigns. Mapal-FR (MISMATCH), Easilys v2-FR (MISMATCH). ES: 1 campaign. Workforce-ES (CORRECT, only valid attachment). Audience is in Observation mode on all 6.</t>
        </is>
      </c>
      <c r="F20" s="151" t="inlineStr">
        <is>
          <t>Remove from 5 mismatched campaigns: UK Flow-Scale + Compliance-New + Flow-Hospitality Training (keep Workforce-relevant attachment only if any), FR Mapal-FR + Easilys v2-FR. Keep on ES Workforce-ES. Quick win — Observation mode means no bid manipulation, just remove the audience signal from optimization.</t>
        </is>
      </c>
      <c r="G20" s="149" t="inlineStr">
        <is>
          <t>Low</t>
        </is>
      </c>
      <c r="H20" s="151" t="inlineStr">
        <is>
          <t>UK Flow / FR Easilys / ES Workforce</t>
        </is>
      </c>
      <c r="I20" s="151" t="inlineStr">
        <is>
          <t>Ready to ship</t>
        </is>
      </c>
    </row>
    <row r="21" ht="114.75" customHeight="1" s="134">
      <c r="A21" s="169" t="n">
        <v>19</v>
      </c>
      <c r="B21" s="149" t="inlineStr">
        <is>
          <t>FR</t>
        </is>
      </c>
      <c r="C21" s="151" t="inlineStr">
        <is>
          <t>FR conversion goal layer is structurally broken. 29 conversion actions, 18 Removed, 4 of those still flagged "Included in account-level goals". Google UI itself warns the goal cannot optimize.</t>
        </is>
      </c>
      <c r="D21" s="170" t="inlineStr">
        <is>
          <t>CRITICAL</t>
        </is>
      </c>
      <c r="E21" s="151" t="inlineStr">
        <is>
          <t>Top-of-page banner: "Add a primary conversion action to your conversion goal: Your other goal cannot be used for optimization because it does not have any primary conversion actions." 4 Removed conversions still Primary AND in goals: Calls from Smart Campaign Ads, Android installs, Qualified lead - Import from clicks, Closed Sale. 2 conversions literally named "(old)". 2 conversions named "...Workforce | ES" living on FR account (cross-account residue). Lead MQL Active Primary in goals (4 conv 30d) is the only valid signal.</t>
        </is>
      </c>
      <c r="F21" s="151" t="inlineStr">
        <is>
          <t>This is the STRUCTURAL root cause for FR Lead MQL/SQL break + the conversion signal / site dataLayer issue. Smart Bidding is optimizing toward conversion definitions that no longer exist. Cross-channel investigation with Andy/RevOps needs to start here on FR. Cleanup: unmark all 18 Removed conversions from Primary + remove from account-level goals. Archive "(old)" named conversions. Investigate the 2 "Workforce | ES" entries on FR.</t>
        </is>
      </c>
      <c r="G21" s="149" t="inlineStr">
        <is>
          <t>High</t>
        </is>
      </c>
      <c r="H21" s="151" t="inlineStr">
        <is>
          <t>Cross-channel root cause</t>
        </is>
      </c>
      <c r="I21" s="151" t="inlineStr">
        <is>
          <t>Friday story #5 anchor</t>
        </is>
      </c>
    </row>
    <row r="22" ht="114.75" customHeight="1" s="134">
      <c r="A22" s="169" t="n">
        <v>20</v>
      </c>
      <c r="B22" s="149" t="inlineStr">
        <is>
          <t>ES</t>
        </is>
      </c>
      <c r="C22" s="151" t="inlineStr">
        <is>
          <t>ES "Compra" conversion: Removed AND still Primary AND in account-level goals. Smart Bidding may be optimizing toward defunct event.</t>
        </is>
      </c>
      <c r="D22" s="172" t="inlineStr">
        <is>
          <t>HIGH</t>
        </is>
      </c>
      <c r="E22" s="151" t="inlineStr">
        <is>
          <t>Same pattern as FR but smaller scale on ES. "Compra" conversion is Website (Import from clicks), Removed status, Primary optimization, 90-day window, in goals = Yes, 0 conversions. Plus 3 other ES conversions (Formulario contacto, YouTube channel subscriptions, YouTube follow-on views) Primary and in goals but No recent conversions.</t>
        </is>
      </c>
      <c r="F22" s="151" t="inlineStr">
        <is>
          <t>Cleanup pass: unmark Compra from Primary and remove from goals. Same for the 3 No-recent-conversions Primary entries.</t>
        </is>
      </c>
      <c r="G22" s="149" t="inlineStr">
        <is>
          <t>Low</t>
        </is>
      </c>
      <c r="H22" s="151" t="inlineStr">
        <is>
          <t>ES tracking</t>
        </is>
      </c>
      <c r="I22" s="151" t="inlineStr">
        <is>
          <t>Ready to ship</t>
        </is>
      </c>
    </row>
    <row r="23" ht="114.75" customHeight="1" s="134">
      <c r="A23" s="169" t="n">
        <v>21</v>
      </c>
      <c r="B23" s="149" t="inlineStr">
        <is>
          <t>UK</t>
        </is>
      </c>
      <c r="C23" s="151" t="inlineStr">
        <is>
          <t>UK Mapal Demo Form Submission in Needs attention state but recording 20 conv. Tracking-tag issue likely.</t>
        </is>
      </c>
      <c r="D23" s="172" t="inlineStr">
        <is>
          <t>HIGH</t>
        </is>
      </c>
      <c r="E23" s="151" t="inlineStr">
        <is>
          <t>UK conversion "Mapal - Demo Form Submission" Website source, status Needs attention, Primary, 90-day window, in goals = Yes, 20 conversions / 30 days recorded. The Needs attention flag on a Primary in-goals conversion means Google detected something about the tag (eg missed firings, validation issue) but it is still recording. Plus 2 YouTube conversions: Primary, No recent conversions, not in goals — vestigial.</t>
        </is>
      </c>
      <c r="F23" s="151" t="inlineStr">
        <is>
          <t>Investigate the Needs attention flag (Google Tag Manager diagnostics). Confirm the 20 reported conversions match HubSpot lead reality. Archive the 2 YouTube vestigial Primary conversions.</t>
        </is>
      </c>
      <c r="G23" s="149" t="inlineStr">
        <is>
          <t>Medium</t>
        </is>
      </c>
      <c r="H23" s="151" t="inlineStr">
        <is>
          <t>UK Flow tracking</t>
        </is>
      </c>
      <c r="I23" s="151" t="inlineStr">
        <is>
          <t>Investigate</t>
        </is>
      </c>
    </row>
    <row r="24" ht="114.75" customHeight="1" s="134">
      <c r="A24" s="169" t="n">
        <v>22</v>
      </c>
      <c r="B24" s="149" t="inlineStr">
        <is>
          <t>UK</t>
        </is>
      </c>
      <c r="C24" s="151" t="inlineStr">
        <is>
          <t>UK Shared Library: 7 orphan items including 3 unused placement exclusion lists (68,951 placements curated and unused).</t>
        </is>
      </c>
      <c r="D24" s="242" t="inlineStr">
        <is>
          <t>MEDIUM</t>
        </is>
      </c>
      <c r="E24" s="151" t="inlineStr">
        <is>
          <t>Negative KW lists: 0 confirmed (was already in audit). Placement exclusions: Display 30,966 placements + Mobile App 30,299 + YouTube 7,686 = ALL ORPHAN, 0 campaigns attached. Brand lists: Competitors (9 brands) ORPHAN, CrunchTime (1 brand competitor) ORPHAN, Fourth (2 brands competitor) attached as INCLUSION on 1 campaign (unusual - likely misconfig or intentional competitor-bidding), Mapal own brand 6 Exclusions normal. Shared budgets: Shared Branded Budget €20/day 0 campaigns ORPHAN, Shared Flow Budget €110/day 2 campaigns but €0 spend (campaigns not spending), Shared Mapal Budget €100/day 2 campaigns but €0 spend. Portfolio bid strategies: all 3 Inactive.</t>
        </is>
      </c>
      <c r="F24" s="151" t="inlineStr">
        <is>
          <t>Investigate Fourth brand list inclusion configuration (is it intentional competitor bidding or misconfig?). Archive orphan items. Investigate why Shared Flow and Mapal Budgets have €0 spend despite 2 attached campaigns each.</t>
        </is>
      </c>
      <c r="G24" s="149" t="inlineStr">
        <is>
          <t>Low</t>
        </is>
      </c>
      <c r="H24" s="151" t="inlineStr">
        <is>
          <t>UK hygiene</t>
        </is>
      </c>
      <c r="I24" s="151" t="inlineStr">
        <is>
          <t>Cleanup pass</t>
        </is>
      </c>
    </row>
    <row r="25" ht="114.75" customHeight="1" s="134">
      <c r="A25" s="169" t="n">
        <v>23</v>
      </c>
      <c r="B25" s="149" t="inlineStr">
        <is>
          <t>ES</t>
        </is>
      </c>
      <c r="C25" s="151" t="inlineStr">
        <is>
          <t>ES Shared Library: 7 orphan items including Workforce remarketing audience built but unused on the flagship Workforce market.</t>
        </is>
      </c>
      <c r="D25" s="242" t="inlineStr">
        <is>
          <t>MEDIUM</t>
        </is>
      </c>
      <c r="E25" s="151" t="inlineStr">
        <is>
          <t>4 saved audiences ORPHAN: Commercial Intent Website Retarget, Remarketing-Compliance, Remarketing-Easilys, Remarketing-Workforce, plus "WorKforce ES" (typo, Custom Audience "Spain Worforce" sic, 10B+ weekly impressions ready, never attached). Brand list (CORE)-Mapal-ES Brand List 1 brand 0 in/0 out ORPHAN. 2 shared budgets ORPHAN: Branded Campaigns-CPA €20/day, Flow-CPA 165 EN created €500/day. €520/day budget capacity provisioned and unused.</t>
        </is>
      </c>
      <c r="F25" s="151" t="inlineStr">
        <is>
          <t>Attach Workforce remarketing audience to Workforce-ES campaigns where appropriate (could improve performance vs Maximize Clicks no-targeting waste). Archive other orphans. Investigate the EN-created Flow shared budget on ES account.</t>
        </is>
      </c>
      <c r="G25" s="149" t="inlineStr">
        <is>
          <t>Low</t>
        </is>
      </c>
      <c r="H25" s="151" t="inlineStr">
        <is>
          <t>ES Workforce</t>
        </is>
      </c>
      <c r="I25" s="151" t="inlineStr">
        <is>
          <t>Attach + cleanup</t>
        </is>
      </c>
    </row>
    <row r="26" ht="114.75" customHeight="1" s="134">
      <c r="A26" s="169" t="n">
        <v>24</v>
      </c>
      <c r="B26" s="149" t="inlineStr">
        <is>
          <t>ES</t>
        </is>
      </c>
      <c r="C26" s="151" t="inlineStr">
        <is>
          <t>PRIOR FINDING REFUTED: ES has 4 negative KW lists totaling 42 KWs, NOT 1 list. Hygiene materially better than previously documented.</t>
        </is>
      </c>
      <c r="D26" s="241" t="inlineStr">
        <is>
          <t>INSIGHT</t>
        </is>
      </c>
      <c r="E26" s="151" t="inlineStr">
        <is>
          <t>Compliance 10 KWs / 7 campaigns, Easilys 11 KWs / 7 campaigns, Generic Negatives 4 KWs / 22 campaigns, Workforce 17 KWs / 9 campaigns. All 4 lists in active use.</t>
        </is>
      </c>
      <c r="F26" s="151" t="inlineStr">
        <is>
          <t>No action. Update audit narrative — ES negative KW governance is product-segmented and active.</t>
        </is>
      </c>
      <c r="G26" s="149" t="inlineStr">
        <is>
          <t>None</t>
        </is>
      </c>
      <c r="H26" s="151" t="inlineStr">
        <is>
          <t>ES governance</t>
        </is>
      </c>
      <c r="I26" s="151" t="inlineStr">
        <is>
          <t>Correction</t>
        </is>
      </c>
    </row>
    <row r="27" ht="114.75" customHeight="1" s="134">
      <c r="A27" s="169" t="n">
        <v>25</v>
      </c>
      <c r="B27" s="149" t="inlineStr">
        <is>
          <t>ES</t>
        </is>
      </c>
      <c r="C27" s="151" t="inlineStr">
        <is>
          <t>ES has 0 placement exclusion lists despite 4 active Display campaigns each running 666K-782K impressions over 90 days.</t>
        </is>
      </c>
      <c r="D27" s="242" t="inlineStr">
        <is>
          <t>MEDIUM</t>
        </is>
      </c>
      <c r="E27" s="151" t="inlineStr">
        <is>
          <t>ES Display Compliance, Display Easilys, Display Workforce, Display Remarketing all running without shared placement exclusions. Compare FR which has 3 lists totaling 69K placement exclusions (attached to 4 campaigns each).</t>
        </is>
      </c>
      <c r="F27" s="151" t="inlineStr">
        <is>
          <t>Build ES placement exclusion lists OR import from FR account if relevant placements overlap. Otherwise ES Display is exposed to low-quality placement waste.</t>
        </is>
      </c>
      <c r="G27" s="149" t="inlineStr">
        <is>
          <t>Medium</t>
        </is>
      </c>
      <c r="H27" s="151" t="inlineStr">
        <is>
          <t>ES hygiene</t>
        </is>
      </c>
      <c r="I27" s="151" t="inlineStr">
        <is>
          <t>Build lists</t>
        </is>
      </c>
    </row>
    <row r="28" ht="114.75" customHeight="1" s="134">
      <c r="A28" s="169" t="n">
        <v>26</v>
      </c>
      <c r="B28" s="149" t="inlineStr">
        <is>
          <t>FR</t>
        </is>
      </c>
      <c r="C28" s="151" t="inlineStr">
        <is>
          <t>FR Smart Bidding learning failure suspected. All top 10 FR campaigns on Maximize Conversions, 7 of 10 returned 0 conversions in 90 days despite €11K spent. Extreme product concentration (all top 10 Easilys).</t>
        </is>
      </c>
      <c r="D28" s="172" t="inlineStr">
        <is>
          <t>HIGH</t>
        </is>
      </c>
      <c r="E28" s="151" t="inlineStr">
        <is>
          <t>(GROW) Easilys Perf Max v3 €3,167 / 4 conv. (GROW) Easilys Scale keywords v3 €2,619 / 0 conv. (GROW) Easilys Perf Max paused €2,120 / 4 conv. Easilys Scale variants v2 Exact / Belgium / Broad / EN-Belgium / v2 / EN-Switzerland / FR-Switzerland all 0 conv. No tCPA at campaign level (uncapped Max Conversions).</t>
        </is>
      </c>
      <c r="F28" s="151" t="inlineStr">
        <is>
          <t>Likely consequence of the FR conversion goal mess (Smart Bidding cannot optimize when conversion definitions are broken). Fix FR conversion actions cleanup first. Then set realistic tCPA on the Max Conversions campaigns based on historical Easilys CPA (€140-200 typical for hospitality SaaS).</t>
        </is>
      </c>
      <c r="G28" s="149" t="inlineStr">
        <is>
          <t>Medium (after conv cleanup)</t>
        </is>
      </c>
      <c r="H28" s="151" t="inlineStr">
        <is>
          <t>FR Easilys</t>
        </is>
      </c>
      <c r="I28" s="151" t="inlineStr">
        <is>
          <t>Sequenced after conv cleanup</t>
        </is>
      </c>
    </row>
    <row r="29" ht="114.75" customHeight="1" s="134">
      <c r="A29" s="169" t="n">
        <v>27</v>
      </c>
      <c r="B29" s="149" t="inlineStr">
        <is>
          <t>UK</t>
        </is>
      </c>
      <c r="C29" s="151" t="inlineStr">
        <is>
          <t>UK Maximize Clicks waste pattern: 2 of top 5 campaigns burning ~€5,600 / 90d for 0 conversions.</t>
        </is>
      </c>
      <c r="D29" s="172" t="inlineStr">
        <is>
          <t>HIGH</t>
        </is>
      </c>
      <c r="E29" s="151" t="inlineStr">
        <is>
          <t>(GROW) Flow-Hospitality Training-New €3,445 / 0 conv on Max Clicks. (GROW) Mapal-Hospitality software-New €2,154 / 0 conv on Max Clicks. Same volume-not-value pattern as ES but smaller scale on UK.</t>
        </is>
      </c>
      <c r="F29" s="151" t="inlineStr">
        <is>
          <t>Once UK tracking confirmed reliable: switch to Max Conversions or tCPA. Pause if no conversions emerge after switch. €5,600/90d at risk = ~€22,700/year if pattern persists.</t>
        </is>
      </c>
      <c r="G29" s="149" t="inlineStr">
        <is>
          <t>Medium (after tracking)</t>
        </is>
      </c>
      <c r="H29" s="151" t="inlineStr">
        <is>
          <t>UK Flow</t>
        </is>
      </c>
      <c r="I29" s="151" t="inlineStr">
        <is>
          <t>Sequenced after tracking</t>
        </is>
      </c>
    </row>
    <row r="30" ht="114.75" customHeight="1" s="134">
      <c r="A30" s="169" t="n">
        <v>28</v>
      </c>
      <c r="B30" s="149" t="inlineStr">
        <is>
          <t>All</t>
        </is>
      </c>
      <c r="C30" s="151" t="inlineStr">
        <is>
          <t>Automated rules: 0 visible on UK + ES to current user. Visibility scoped to signed-in user, so contractor-owned rules (Lukas, Javier) cannot be confirmed or denied without their login session.</t>
        </is>
      </c>
      <c r="D30" s="241" t="inlineStr">
        <is>
          <t>INSIGHT</t>
        </is>
      </c>
      <c r="E30" s="151" t="inlineStr">
        <is>
          <t>UI banner: "The history of bulk actions are now only visible based on the account you are signed into." adfernandez@mapal-os.com cannot surface luksius11@gmail.com or marketing@jjromero.com rules. Same caveat applies to UK + ES. FR rules captured in prior session showed 2 stale 2022-2023 tceclickboost rules (visible because they were re-listed in account history).</t>
        </is>
      </c>
      <c r="F30" s="151" t="inlineStr">
        <is>
          <t>Document as a gap. Either Zibi accesses each contractor session (impractical post-termination) OR accept that historical rules are invisible. Forward state: when contractor access is revoked, any rules they created will continue to fire until manually disabled — flag to Andy/RevOps for monitoring.</t>
        </is>
      </c>
      <c r="G30" s="149" t="inlineStr">
        <is>
          <t>None</t>
        </is>
      </c>
      <c r="H30" s="151" t="inlineStr">
        <is>
          <t>Governance</t>
        </is>
      </c>
      <c r="I30" s="151" t="inlineStr">
        <is>
          <t>Documented gap</t>
        </is>
      </c>
    </row>
    <row r="31" ht="15.75" customHeight="1" s="134"/>
    <row r="32" ht="15.75" customHeight="1" s="134"/>
    <row r="33" ht="15.75" customHeight="1" s="134"/>
    <row r="34" ht="15.75" customHeight="1" s="134"/>
    <row r="35" ht="15.75" customHeight="1" s="134"/>
    <row r="36" ht="15.75" customHeight="1" s="134"/>
    <row r="37" ht="15.75" customHeight="1" s="134"/>
    <row r="38" ht="15.75" customHeight="1" s="134"/>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mergeCells count="2">
    <mergeCell ref="A1:I1"/>
    <mergeCell ref="A2:I2"/>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I3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4.43359375" defaultRowHeight="15" zeroHeight="0" outlineLevelRow="0"/>
  <cols>
    <col width="4" customWidth="1" style="133" min="1" max="1"/>
    <col width="10" customWidth="1" style="133" min="2" max="2"/>
    <col width="38" customWidth="1" style="133" min="3" max="3"/>
    <col width="11" customWidth="1" style="133" min="4" max="4"/>
    <col width="55" customWidth="1" style="133" min="5" max="5"/>
    <col width="50" customWidth="1" style="133" min="6" max="6"/>
    <col width="8" customWidth="1" style="133" min="7" max="7"/>
    <col width="18" customWidth="1" style="133" min="8" max="8"/>
    <col width="22" customWidth="1" style="133" min="9" max="9"/>
    <col width="8.710000000000001" customWidth="1" style="133" min="10" max="26"/>
  </cols>
  <sheetData>
    <row r="1" ht="15" customHeight="1" s="134">
      <c r="A1" s="148" t="inlineStr">
        <is>
          <t>#</t>
        </is>
      </c>
      <c r="B1" s="148" t="inlineStr">
        <is>
          <t>Market</t>
        </is>
      </c>
      <c r="C1" s="148" t="inlineStr">
        <is>
          <t>Finding</t>
        </is>
      </c>
      <c r="D1" s="148" t="inlineStr">
        <is>
          <t>Severity</t>
        </is>
      </c>
      <c r="E1" s="148" t="inlineStr">
        <is>
          <t>Evidence</t>
        </is>
      </c>
      <c r="F1" s="148" t="inlineStr">
        <is>
          <t>Recommendation</t>
        </is>
      </c>
      <c r="G1" s="148" t="inlineStr">
        <is>
          <t>Effort</t>
        </is>
      </c>
      <c r="H1" s="148" t="inlineStr">
        <is>
          <t>Aligned with Map</t>
        </is>
      </c>
      <c r="I1" s="148" t="inlineStr">
        <is>
          <t>Status</t>
        </is>
      </c>
    </row>
    <row r="2" ht="94.5" customHeight="1" s="134">
      <c r="A2" s="169" t="n">
        <v>1</v>
      </c>
      <c r="B2" s="149" t="inlineStr">
        <is>
          <t>FR</t>
        </is>
      </c>
      <c r="C2" s="151" t="inlineStr">
        <is>
          <t>ABM mis-targeted to wrong vertical (healthcare/govt)</t>
        </is>
      </c>
      <c r="D2" s="170" t="inlineStr">
        <is>
          <t>CRITICAL</t>
        </is>
      </c>
      <c r="E2" s="151" t="inlineStr">
        <is>
          <t>Play-1 ad set uses free-text Company Names: ELSAN, Tables Communes, Conseil Régional Aquitaine, Département des Pyrenées-Atlantiques, Ville de S... ELSAN is a French private hospital group; the others are public-sector regional govt. Segment breakdown: Healthcare 25%, Education 14%, Community/Social Services 12% (= 51% wrong-vertical). 0 leads from €441 / 90d.</t>
        </is>
      </c>
      <c r="F2" s="151" t="inlineStr">
        <is>
          <t>KILL Play-1 entirely (aligns with Zibi ABM decision). If any FR ABM is ever revisited, use existing FR TOP 100 Accounts v2 matched audience (1.28M, Ready, &gt;90% match, sitting unused in same account).</t>
        </is>
      </c>
      <c r="G2" s="149" t="inlineStr">
        <is>
          <t>Low</t>
        </is>
      </c>
      <c r="H2" s="151" t="inlineStr">
        <is>
          <t>N/A</t>
        </is>
      </c>
      <c r="I2" s="151" t="inlineStr">
        <is>
          <t>Validated by Zibi ABM kill</t>
        </is>
      </c>
    </row>
    <row r="3" ht="94.5" customHeight="1" s="134">
      <c r="A3" s="169" t="n">
        <v>2</v>
      </c>
      <c r="B3" s="149" t="inlineStr">
        <is>
          <t>FR</t>
        </is>
      </c>
      <c r="C3" s="151" t="inlineStr">
        <is>
          <t>Existing FR TOP 100 Accounts v2 matched audience unused</t>
        </is>
      </c>
      <c r="D3" s="170" t="inlineStr">
        <is>
          <t>CRITICAL</t>
        </is>
      </c>
      <c r="E3" s="151" t="inlineStr">
        <is>
          <t>Matched Audience FR TOP 100 Accounts v2 exists in FR account: 1,285,080 members, Ready status, &gt;90% match rate, modified 3/16/2026. ABM Play-1 is NOT referencing it — uses hand-typed wrong-vertical free-text list instead.</t>
        </is>
      </c>
      <c r="F3" s="151" t="inlineStr">
        <is>
          <t>Data hygiene story for Friday. Even outside ABM, this audience can power Lead Gen Form retargeting or future plays. Do not delete.</t>
        </is>
      </c>
      <c r="G3" s="149" t="inlineStr">
        <is>
          <t>None</t>
        </is>
      </c>
      <c r="H3" s="151" t="inlineStr">
        <is>
          <t>N/A</t>
        </is>
      </c>
      <c r="I3" s="151" t="inlineStr">
        <is>
          <t>Flag for Friday</t>
        </is>
      </c>
    </row>
    <row r="4" ht="94.5" customHeight="1" s="134">
      <c r="A4" s="169" t="n">
        <v>3</v>
      </c>
      <c r="B4" s="149" t="inlineStr">
        <is>
          <t>FR</t>
        </is>
      </c>
      <c r="C4" s="151" t="inlineStr">
        <is>
          <t>Fab Lead Form proves narrow-audience kills leads on identical offer</t>
        </is>
      </c>
      <c r="D4" s="170" t="inlineStr">
        <is>
          <t>CRITICAL</t>
        </is>
      </c>
      <c r="E4" s="151" t="inlineStr">
        <is>
          <t>Same campaign group, same Lead Gen Form, same Easilys offer. Outreach Easilys Segment (broad, 22K audience): 3 leads / €444 / €148 CPL in 30d. Outreach Easilys Segment - Top 100 Companies (narrow filter on same offer): 0 leads / €452 / 0 CPL. Controlled experiment.</t>
        </is>
      </c>
      <c r="F4" s="151" t="inlineStr">
        <is>
          <t>Replicate FR Fab Lead Form playbook for EN and ES: native Lead Gen Form + Lead Generation objective + broad ICP audience (no Top-100 filter). Skip narrow ABM filtering on lead gen.</t>
        </is>
      </c>
      <c r="G4" s="149" t="inlineStr">
        <is>
          <t>Medium</t>
        </is>
      </c>
      <c r="H4" s="151" t="inlineStr">
        <is>
          <t>UK Flow, ES Workforce</t>
        </is>
      </c>
      <c r="I4" s="151" t="inlineStr">
        <is>
          <t>Mid-June priority</t>
        </is>
      </c>
    </row>
    <row r="5" ht="94.5" customHeight="1" s="134">
      <c r="A5" s="169" t="n">
        <v>4</v>
      </c>
      <c r="B5" s="149" t="inlineStr">
        <is>
          <t>FR</t>
        </is>
      </c>
      <c r="C5" s="151" t="inlineStr">
        <is>
          <t>Audience too small for LinkedIn delivery threshold</t>
        </is>
      </c>
      <c r="D5" s="172" t="inlineStr">
        <is>
          <t>HIGH</t>
        </is>
      </c>
      <c r="E5" s="151" t="inlineStr">
        <is>
          <t>Play-1 target audience 3,400+. LinkedIn page itself flags: "we suggest a minimum target audience size of 50,000."</t>
        </is>
      </c>
      <c r="F5" s="151" t="inlineStr">
        <is>
          <t>Killed (per Zibi). Lesson: any future ABM-style targeting must clear LinkedIn 50K threshold.</t>
        </is>
      </c>
      <c r="G5" s="149" t="inlineStr">
        <is>
          <t>Low</t>
        </is>
      </c>
      <c r="H5" s="151" t="inlineStr">
        <is>
          <t>N/A</t>
        </is>
      </c>
      <c r="I5" s="151" t="inlineStr">
        <is>
          <t>Lesson captured</t>
        </is>
      </c>
    </row>
    <row r="6" ht="94.5" customHeight="1" s="134">
      <c r="A6" s="169" t="n">
        <v>5</v>
      </c>
      <c r="B6" s="149" t="inlineStr">
        <is>
          <t>FR</t>
        </is>
      </c>
      <c r="C6" s="151" t="inlineStr">
        <is>
          <t>Lead MQL conversion event Inactive (last fired ~4 weeks ago)</t>
        </is>
      </c>
      <c r="D6" s="172" t="inlineStr">
        <is>
          <t>HIGH</t>
        </is>
      </c>
      <c r="E6" s="151" t="inlineStr">
        <is>
          <t>FR account, conversion event "Lead MQL" status Inactive on dashboard. Attached as goal on FR ABM Play-1. Auto-bidder cannot optimise against a conversion that does not fire.</t>
        </is>
      </c>
      <c r="F6" s="151" t="inlineStr">
        <is>
          <t>Investigate WHY Lead MQL stopped firing. Likely related to broader conversion signal issue or HubSpot integration. Raise to Andy / RevOps.</t>
        </is>
      </c>
      <c r="G6" s="149" t="inlineStr">
        <is>
          <t>Medium</t>
        </is>
      </c>
      <c r="H6" s="151" t="inlineStr">
        <is>
          <t>Cross-channel tracking</t>
        </is>
      </c>
      <c r="I6" s="151" t="inlineStr">
        <is>
          <t>Open — gates Nurture</t>
        </is>
      </c>
    </row>
    <row r="7" ht="94.5" customHeight="1" s="134">
      <c r="A7" s="169" t="n">
        <v>6</v>
      </c>
      <c r="B7" s="149" t="inlineStr">
        <is>
          <t>FR</t>
        </is>
      </c>
      <c r="C7" s="151" t="inlineStr">
        <is>
          <t>"do not use" conversion still attached as ABM goal</t>
        </is>
      </c>
      <c r="D7" s="172" t="inlineStr">
        <is>
          <t>HIGH</t>
        </is>
      </c>
      <c r="E7" s="151" t="inlineStr">
        <is>
          <t>FR ABM Play-1 goals include conversion event literally named "do not use - MAPAL OS - Thank You Page - page view FR only" (Active). Whoever set up the campaign never cleaned the goal list.</t>
        </is>
      </c>
      <c r="F7" s="151" t="inlineStr">
        <is>
          <t>Remove on cleanup pass. Also audit other ad sets in FR for same misconfigured goal.</t>
        </is>
      </c>
      <c r="G7" s="149" t="inlineStr">
        <is>
          <t>Low</t>
        </is>
      </c>
      <c r="H7" s="151" t="inlineStr">
        <is>
          <t>Hygiene</t>
        </is>
      </c>
      <c r="I7" s="151" t="inlineStr">
        <is>
          <t>Quick fix</t>
        </is>
      </c>
    </row>
    <row r="8" ht="94.5" customHeight="1" s="134">
      <c r="A8" s="169" t="n">
        <v>7</v>
      </c>
      <c r="B8" s="149" t="inlineStr">
        <is>
          <t>UK</t>
        </is>
      </c>
      <c r="C8" s="151" t="inlineStr">
        <is>
          <t>ABM under-spent: permanent cold-start</t>
        </is>
      </c>
      <c r="D8" s="172" t="inlineStr">
        <is>
          <t>HIGH</t>
        </is>
      </c>
      <c r="E8" s="151" t="inlineStr">
        <is>
          <t>$248.53 / 90d = $2.75/day across an audience pool of 2.17M LinkedIn members. LinkedIn Sponsored Content needs ~50 conversions per ad set to optimise. Setup quality is good (right audience, right creative, right geo) but the spend cannot exit cold-start.</t>
        </is>
      </c>
      <c r="F8" s="151" t="inlineStr">
        <is>
          <t>Either commit to materially higher daily budget if ABM is kept, OR fold spend into broader Lead Gen Form replication (preferred per Zibi).</t>
        </is>
      </c>
      <c r="G8" s="149" t="inlineStr">
        <is>
          <t>Medium</t>
        </is>
      </c>
      <c r="H8" s="151" t="inlineStr">
        <is>
          <t>UK Flow</t>
        </is>
      </c>
      <c r="I8" s="151" t="inlineStr">
        <is>
          <t>Pending mid-June reset</t>
        </is>
      </c>
    </row>
    <row r="9" ht="94.5" customHeight="1" s="134">
      <c r="A9" s="169" t="n">
        <v>8</v>
      </c>
      <c r="B9" s="149" t="inlineStr">
        <is>
          <t>UK</t>
        </is>
      </c>
      <c r="C9" s="151" t="inlineStr">
        <is>
          <t>Broken/Unverified conversions attached as ABM goals</t>
        </is>
      </c>
      <c r="D9" s="172" t="inlineStr">
        <is>
          <t>HIGH</t>
        </is>
      </c>
      <c r="E9" s="151" t="inlineStr">
        <is>
          <t>3 of 7 conversions attached are Inactive or Unverified: Flow Thank you page (Inactive), Flow Contact Us Page (Inactive), PDF Download (Unverified). Mix of TOFU/MOFU/BOFU goals fine in concept but the broken events pollute LinkedIn optimisation signal.</t>
        </is>
      </c>
      <c r="F9" s="151" t="inlineStr">
        <is>
          <t>Audit and clean conversion goal lists across all ABM ad sets in cleanup pass. Verify each event fires in test mode before re-attaching.</t>
        </is>
      </c>
      <c r="G9" s="149" t="inlineStr">
        <is>
          <t>Medium</t>
        </is>
      </c>
      <c r="H9" s="151" t="inlineStr">
        <is>
          <t>Cross-channel tracking</t>
        </is>
      </c>
      <c r="I9" s="151" t="inlineStr">
        <is>
          <t>Hygiene pass</t>
        </is>
      </c>
    </row>
    <row r="10" ht="94.5" customHeight="1" s="134">
      <c r="A10" s="169" t="n">
        <v>9</v>
      </c>
      <c r="B10" s="149" t="inlineStr">
        <is>
          <t>UK</t>
        </is>
      </c>
      <c r="C10" s="151" t="inlineStr">
        <is>
          <t>ABM creative quality is sound (3-variant A/B test)</t>
        </is>
      </c>
      <c r="D10" s="241" t="inlineStr">
        <is>
          <t>INSIGHT</t>
        </is>
      </c>
      <c r="E10" s="151" t="inlineStr">
        <is>
          <t>3 Single Image ads, all Active, all "training-to-execution gap" hook variants (V1 FSR TrainedVsConfident, V2 QSR TrainedVsConfident, V3 QSR StatHook). 42 clicks at 0.43% blended CTR (LinkedIn ABM benchmark 0.5-1.0%). Algorithm correctly throttling weakest V1 ($32 / 0.24%).</t>
        </is>
      </c>
      <c r="F10" s="151" t="inlineStr">
        <is>
          <t>Preserve this creative concept for the broader Lead Gen Form replication. Hook works, only the targeting/spend was wrong.</t>
        </is>
      </c>
      <c r="G10" s="149" t="inlineStr">
        <is>
          <t>None</t>
        </is>
      </c>
      <c r="H10" s="151" t="inlineStr">
        <is>
          <t>UK Flow</t>
        </is>
      </c>
      <c r="I10" s="151" t="inlineStr">
        <is>
          <t>Reuse for new playbook</t>
        </is>
      </c>
    </row>
    <row r="11" ht="94.5" customHeight="1" s="134">
      <c r="A11" s="169" t="n">
        <v>10</v>
      </c>
      <c r="B11" s="149" t="inlineStr">
        <is>
          <t>UK</t>
        </is>
      </c>
      <c r="C11" s="151" t="inlineStr">
        <is>
          <t>Click-to-lead gap suggests landing-page failure</t>
        </is>
      </c>
      <c r="D11" s="172" t="inlineStr">
        <is>
          <t>HIGH</t>
        </is>
      </c>
      <c r="E11" s="151" t="inlineStr">
        <is>
          <t>42 clicks producing 0 leads = 0% click-to-lead. Audience right, creative right. Conversion goal PDF Download is Unverified.</t>
        </is>
      </c>
      <c r="F11" s="151" t="inlineStr">
        <is>
          <t>Verify landing page conversion pixel fires for PDF download asset. Likely the asset/LP does not have the event hooked up properly. Test in browser before next ABM attempt.</t>
        </is>
      </c>
      <c r="G11" s="149" t="inlineStr">
        <is>
          <t>Medium</t>
        </is>
      </c>
      <c r="H11" s="151" t="inlineStr">
        <is>
          <t>UK Flow</t>
        </is>
      </c>
      <c r="I11" s="151" t="inlineStr">
        <is>
          <t>Landing-page audit</t>
        </is>
      </c>
    </row>
    <row r="12" ht="94.5" customHeight="1" s="134">
      <c r="A12" s="169" t="n">
        <v>11</v>
      </c>
      <c r="B12" s="149" t="inlineStr">
        <is>
          <t>ES</t>
        </is>
      </c>
      <c r="C12" s="151" t="inlineStr">
        <is>
          <t>ABM Paused — limited fresh data</t>
        </is>
      </c>
      <c r="D12" s="242" t="inlineStr">
        <is>
          <t>MEDIUM</t>
        </is>
      </c>
      <c r="E12" s="151" t="inlineStr">
        <is>
          <t>ES - Feed TOP 100 ad set currently Paused. When running: reasonable Ops-heavy audience (8K+), 4 Sponsored Content ads. Lifetime data not captured.</t>
        </is>
      </c>
      <c r="F12" s="151" t="inlineStr">
        <is>
          <t>Skip for now (paused). If reviving for Lead Gen Form replication, use broad ES audience like FR Outreach Easilys Segment (not narrow Top-100 filter).</t>
        </is>
      </c>
      <c r="G12" s="149" t="inlineStr">
        <is>
          <t>Low</t>
        </is>
      </c>
      <c r="H12" s="151" t="inlineStr">
        <is>
          <t>ES Workforce</t>
        </is>
      </c>
      <c r="I12" s="151" t="inlineStr">
        <is>
          <t>Paused, no urgency</t>
        </is>
      </c>
    </row>
    <row r="13" ht="94.5" customHeight="1" s="134">
      <c r="A13" s="169" t="n">
        <v>12</v>
      </c>
      <c r="B13" s="149" t="inlineStr">
        <is>
          <t>UK+ES+FR</t>
        </is>
      </c>
      <c r="C13" s="151" t="inlineStr">
        <is>
          <t>UTM tracking minimal but consistent</t>
        </is>
      </c>
      <c r="D13" s="245" t="inlineStr">
        <is>
          <t>LOW</t>
        </is>
      </c>
      <c r="E13" s="151" t="inlineStr">
        <is>
          <t>All 3 ABM ad sets and FR Fab Lead Form use identical ad-set-level URL params: account_id={{ACCOUNT_ID}}&amp;utm_source=LinkedIn. No utm_medium / utm_campaign / utm_content. No account-level tracking parameters configured on any LinkedIn account.</t>
        </is>
      </c>
      <c r="F13" s="151" t="inlineStr">
        <is>
          <t>Roll LinkedIn into the global UTM convention work (UTM task GID 1214912529250966, Zibi offered help). Add utm_medium=paid-social, utm_campaign={{CAMPAIGN_NAME}}, utm_content={{CREATIVE_ID}} as standards.</t>
        </is>
      </c>
      <c r="G13" s="149" t="inlineStr">
        <is>
          <t>Low</t>
        </is>
      </c>
      <c r="H13" s="151" t="inlineStr">
        <is>
          <t>Cross-channel tracking</t>
        </is>
      </c>
      <c r="I13" s="151" t="inlineStr">
        <is>
          <t>In Zibi UTM workstream</t>
        </is>
      </c>
    </row>
    <row r="14" ht="94.5" customHeight="1" s="134">
      <c r="A14" s="169" t="n">
        <v>13</v>
      </c>
      <c r="B14" s="149" t="inlineStr">
        <is>
          <t>UK+ES+FR</t>
        </is>
      </c>
      <c r="C14" s="151" t="inlineStr">
        <is>
          <t>Insight Tags firing on all 3 accounts (contrast to conversion signal broken on Google Ads)</t>
        </is>
      </c>
      <c r="D14" s="241" t="inlineStr">
        <is>
          <t>INSIGHT</t>
        </is>
      </c>
      <c r="E14" s="151" t="inlineStr">
        <is>
          <t>All 3 LinkedIn Insight Tags Active and firing. Bing UET also installed on EN account. Exception: FR Lead MQL Inactive (modified 11/14/2025).</t>
        </is>
      </c>
      <c r="F14" s="151" t="inlineStr">
        <is>
          <t>Use as Friday contrast point: LinkedIn pixel infrastructure is healthier than Google Ads side. Bad ABM results not caused by tracking blindness on LinkedIn (FR partial exception).</t>
        </is>
      </c>
      <c r="G14" s="149" t="inlineStr">
        <is>
          <t>None</t>
        </is>
      </c>
      <c r="H14" s="151" t="inlineStr">
        <is>
          <t>Cross-channel tracking</t>
        </is>
      </c>
      <c r="I14" s="151" t="inlineStr">
        <is>
          <t>Friday talking point</t>
        </is>
      </c>
    </row>
    <row r="15" ht="94.5" customHeight="1" s="134">
      <c r="A15" s="169" t="n">
        <v>14</v>
      </c>
      <c r="B15" s="149" t="inlineStr">
        <is>
          <t>EN</t>
        </is>
      </c>
      <c r="C15" s="151" t="inlineStr">
        <is>
          <t>Audience clutter: 5 "Ignore - Not Use" Matched Audiences active</t>
        </is>
      </c>
      <c r="D15" s="245" t="inlineStr">
        <is>
          <t>LOW</t>
        </is>
      </c>
      <c r="E15" s="151" t="inlineStr">
        <is>
          <t>EN account page 1 of 2 matched audiences shows 5 audiences named "Ignore - Not Use" still attached to 1-3 active ad sets each. Modified 4/6/2025.</t>
        </is>
      </c>
      <c r="F15" s="151" t="inlineStr">
        <is>
          <t>Decouple from active ad sets in cleanup pass. Archive after verifying they are not the only audience on any campaign.</t>
        </is>
      </c>
      <c r="G15" s="149" t="inlineStr">
        <is>
          <t>Low</t>
        </is>
      </c>
      <c r="H15" s="151" t="inlineStr">
        <is>
          <t>Hygiene</t>
        </is>
      </c>
      <c r="I15" s="151" t="inlineStr">
        <is>
          <t>Cleanup pass</t>
        </is>
      </c>
    </row>
    <row r="16" ht="94.5" customHeight="1" s="134">
      <c r="A16" s="169" t="n">
        <v>15</v>
      </c>
      <c r="B16" s="149" t="inlineStr">
        <is>
          <t>ES</t>
        </is>
      </c>
      <c r="C16" s="151" t="inlineStr">
        <is>
          <t>Worst legacy audience clutter (10+ audiences no signal 5 years)</t>
        </is>
      </c>
      <c r="D16" s="245" t="inlineStr">
        <is>
          <t>LOW</t>
        </is>
      </c>
      <c r="E16" s="151" t="inlineStr">
        <is>
          <t>ES account page 1: 10+ matched audiences with "Last signal received: 5 years ago" dating to Feb 2021. PuP-*, Remarketing LP*, Site Web FR (in ES account), Easilys remarketing etc.</t>
        </is>
      </c>
      <c r="F16" s="151" t="inlineStr">
        <is>
          <t>Archive in cleanup pass. Confirm not referenced by any active ad set before archiving.</t>
        </is>
      </c>
      <c r="G16" s="149" t="inlineStr">
        <is>
          <t>Low</t>
        </is>
      </c>
      <c r="H16" s="151" t="inlineStr">
        <is>
          <t>Hygiene</t>
        </is>
      </c>
      <c r="I16" s="151" t="inlineStr">
        <is>
          <t>Cleanup pass</t>
        </is>
      </c>
    </row>
    <row r="17" ht="94.5" customHeight="1" s="134">
      <c r="A17" s="169" t="n">
        <v>16</v>
      </c>
      <c r="B17" s="149" t="inlineStr">
        <is>
          <t>FR</t>
        </is>
      </c>
      <c r="C17" s="151" t="inlineStr">
        <is>
          <t>Easilys-HubSpot lookalikes 3 years old but still active</t>
        </is>
      </c>
      <c r="D17" s="241" t="inlineStr">
        <is>
          <t>INSIGHT</t>
        </is>
      </c>
      <c r="E17" s="151" t="inlineStr">
        <is>
          <t>FR account: HS - ACCOUNT - EASILYS RCL/RCM PROSPECTS LOOKALIKE (3 audiences, 9.5K-550K members, modified Aug 2023, active on 2-5 ad sets).</t>
        </is>
      </c>
      <c r="F17" s="151" t="inlineStr">
        <is>
          <t>Probably still valuable but worth refreshing the seed list from current HubSpot CRM data before relying on them for big spend.</t>
        </is>
      </c>
      <c r="G17" s="149" t="inlineStr">
        <is>
          <t>Medium</t>
        </is>
      </c>
      <c r="H17" s="151" t="inlineStr">
        <is>
          <t>FR Easilys flagship</t>
        </is>
      </c>
      <c r="I17" s="151" t="inlineStr">
        <is>
          <t>Mid-June</t>
        </is>
      </c>
    </row>
    <row r="18" ht="94.5" customHeight="1" s="134">
      <c r="A18" s="169" t="n">
        <v>17</v>
      </c>
      <c r="B18" s="149" t="inlineStr">
        <is>
          <t>FR</t>
        </is>
      </c>
      <c r="C18" s="151" t="inlineStr">
        <is>
          <t>Crossvertical-Mapal-Studio ad sets may explain Zibi €828 vs €441 FR ABM delta</t>
        </is>
      </c>
      <c r="D18" s="241" t="inlineStr">
        <is>
          <t>INSIGHT</t>
        </is>
      </c>
      <c r="E18" s="151" t="inlineStr">
        <is>
          <t>No Play-2 sibling exists (confirmed via Archived filter). Closest candidates: Crossvertical-Mapal-Studio FEED (442951084 Completed) and INMAIL (442901114 Paused), both Q4 2025, both Mapal Studio offer.</t>
        </is>
      </c>
      <c r="F18" s="151" t="inlineStr">
        <is>
          <t>1-line check with Zibi on Friday: confirm his €828 was Play-1 lifetime OR Play-1 + one of the older Crossvertical-Mapal-Studio sets. Not blocking.</t>
        </is>
      </c>
      <c r="G18" s="149" t="inlineStr">
        <is>
          <t>None</t>
        </is>
      </c>
      <c r="H18" s="151" t="inlineStr">
        <is>
          <t>Reconciliation</t>
        </is>
      </c>
      <c r="I18" s="151" t="inlineStr">
        <is>
          <t>Confirm with Zibi</t>
        </is>
      </c>
    </row>
    <row r="19" ht="99.75" customHeight="1" s="134">
      <c r="A19" s="169" t="n">
        <v>18</v>
      </c>
      <c r="B19" s="149" t="inlineStr">
        <is>
          <t>FR</t>
        </is>
      </c>
      <c r="C19" s="151" t="inlineStr">
        <is>
          <t>FR Fab Lead Form (Effica Opé v2) full structure mapped. 21 leads to date. This is the template for the rescued FR Easilys video campaign.</t>
        </is>
      </c>
      <c r="D19" s="241" t="inlineStr">
        <is>
          <t>INSIGHT</t>
        </is>
      </c>
      <c r="E19" s="151" t="inlineStr">
        <is>
          <t>Form ID 1002447031. Created Dec 10 2025. Active. 2 ad set associations. 5 required profile fields: Prénom / Nom / Nom de l'entreprise / E-mail professionnel / Téléphone professionnel. French labels. Privacy URL: mapal-os.com/fr/politique-de-confidentialite. Confirmation: link to landing page (no Calendly enabled). Headline "Téléchargez notre ebook gratuit de 23 pages". Body about digitalisation hospitality restauration.</t>
        </is>
      </c>
      <c r="F19" s="151" t="inlineStr">
        <is>
          <t>Replicate exact field structure + privacy text + LP-confirmation flow for the rescued FR Easilys video campaign Lead Gen Form. Confirm with Alexia + Loraine on copy adaptation for Easilys offer (vs the digitalisation ebook).</t>
        </is>
      </c>
      <c r="G19" s="149" t="inlineStr">
        <is>
          <t>Low</t>
        </is>
      </c>
      <c r="H19" s="151" t="inlineStr">
        <is>
          <t>FR Easilys</t>
        </is>
      </c>
      <c r="I19" s="151" t="inlineStr">
        <is>
          <t>Template ready</t>
        </is>
      </c>
    </row>
    <row r="20" ht="99.75" customHeight="1" s="134">
      <c r="A20" s="169" t="n">
        <v>19</v>
      </c>
      <c r="B20" s="149" t="inlineStr">
        <is>
          <t>FR</t>
        </is>
      </c>
      <c r="C20" s="151" t="inlineStr">
        <is>
          <t>FR forms graveyard: 13 Lead Gen Forms total, only Effica Opé v2 produces leads. 12 dormant forms.</t>
        </is>
      </c>
      <c r="D20" s="242" t="inlineStr">
        <is>
          <t>MEDIUM</t>
        </is>
      </c>
      <c r="E20" s="151" t="inlineStr">
        <is>
          <t>Other forms 0 leads but still Active: Paid Ads Ebook w/ Zelty, Form Jul 10 2025, FR-PRODUCT AD-ENGAGEMENT-CAROUSEL (2 assoc), 4 LinkedIn whitepaper forms from 2023, Hôtellerie-restauration turnover form, Workforce Demo (8 assoc), Easilys Demo (6 assoc), Flow Demo (6 assoc), Compliance Demo (6 assoc). The 4 "Demo" forms have 6-8 ad set associations each but produce 0 leads.</t>
        </is>
      </c>
      <c r="F20" s="151" t="inlineStr">
        <is>
          <t>Cleanup pass post-mid-June. Archive forms with 0 leads + 0 ad set associations. Investigate why 4 Demo forms with 20+ combined ad set associations produce zero leads (tracking issue OR ad sets not active).</t>
        </is>
      </c>
      <c r="G20" s="149" t="inlineStr">
        <is>
          <t>Medium</t>
        </is>
      </c>
      <c r="H20" s="151" t="inlineStr">
        <is>
          <t>FR hygiene</t>
        </is>
      </c>
      <c r="I20" s="151" t="inlineStr">
        <is>
          <t>Mid-June cleanup</t>
        </is>
      </c>
    </row>
    <row r="21" ht="99.75" customHeight="1" s="134">
      <c r="A21" s="169" t="n">
        <v>20</v>
      </c>
      <c r="B21" s="149" t="inlineStr">
        <is>
          <t>EN</t>
        </is>
      </c>
      <c r="C21" s="151" t="inlineStr">
        <is>
          <t>EN LinkedIn account has Microsoft UET also connected (only account with both). Cross-channel attribution capability.</t>
        </is>
      </c>
      <c r="D21" s="241" t="inlineStr">
        <is>
          <t>INSIGHT</t>
        </is>
      </c>
      <c r="E21" s="151" t="inlineStr">
        <is>
          <t>EN account sources connected: Insight Tag (Active) + MSFT Universal Event Tracking tag (Active). ES + FR have Insight Tag only. EN account is the only one capable of dual-pipe LinkedIn + Microsoft Ads conversion tracking.</t>
        </is>
      </c>
      <c r="F21" s="151" t="inlineStr">
        <is>
          <t>Friday talking point: when tracking is restored cross-channel, EN account is best-positioned for attribution clarity. Confirm what Microsoft UET tag GID is connected and whether it matches the Mapal 343207640 tag found in Microsoft Ads audit.</t>
        </is>
      </c>
      <c r="G21" s="149" t="inlineStr">
        <is>
          <t>None</t>
        </is>
      </c>
      <c r="H21" s="151" t="inlineStr">
        <is>
          <t>Cross-channel</t>
        </is>
      </c>
      <c r="I21" s="151" t="inlineStr">
        <is>
          <t>Friday talking point</t>
        </is>
      </c>
    </row>
    <row r="22" ht="99.75" customHeight="1" s="134">
      <c r="A22" s="169" t="n">
        <v>21</v>
      </c>
      <c r="B22" s="149" t="inlineStr">
        <is>
          <t>All</t>
        </is>
      </c>
      <c r="C22" s="151" t="inlineStr">
        <is>
          <t>3 orphan Lead Gen Form audiences across EN + ES, all 2020-2021 vintage. Cleanup targets.</t>
        </is>
      </c>
      <c r="D22" s="245" t="inlineStr">
        <is>
          <t>LOW</t>
        </is>
      </c>
      <c r="E22" s="151" t="inlineStr">
        <is>
          <t>EN: "PuP - Existing Leads - EN" (2/23/2021) 0 ad sets, "PuP - All Leadgen EN" (2/23/2021) 0 ad sets. ES: "PuP - All Leadgen ES" (7/30/2020) 0 ad sets - oldest audience in any LinkedIn account.</t>
        </is>
      </c>
      <c r="F22" s="151" t="inlineStr">
        <is>
          <t>Archive in cleanup pass post-mid-June. No active dependency.</t>
        </is>
      </c>
      <c r="G22" s="149" t="inlineStr">
        <is>
          <t>Low</t>
        </is>
      </c>
      <c r="H22" s="151" t="inlineStr">
        <is>
          <t>Hygiene</t>
        </is>
      </c>
      <c r="I22" s="151" t="inlineStr">
        <is>
          <t>Mid-June cleanup</t>
        </is>
      </c>
    </row>
    <row r="23" ht="99.75" customHeight="1" s="134">
      <c r="A23" s="169" t="n">
        <v>22</v>
      </c>
      <c r="B23" s="149" t="inlineStr">
        <is>
          <t>FR</t>
        </is>
      </c>
      <c r="C23" s="151" t="inlineStr">
        <is>
          <t>FR HS-EASILYS-RCL-CUSTOMERS audience: 15% match rate. Likely stale.</t>
        </is>
      </c>
      <c r="D23" s="242" t="inlineStr">
        <is>
          <t>MEDIUM</t>
        </is>
      </c>
      <c r="E23" s="151" t="inlineStr">
        <is>
          <t>Company List type, 4 ad set associations, 301,052 members, only 15% match rate. Compare to peer FR audiences at 55-90% match. The 4 ad sets attached are running against a poorly-matched list.</t>
        </is>
      </c>
      <c r="F23" s="151" t="inlineStr">
        <is>
          <t>Refresh or replace list. Investigate which 4 ad sets use it - those may have inflated audience sizes vs actual reachable. Confirm with Alexia.</t>
        </is>
      </c>
      <c r="G23" s="149" t="inlineStr">
        <is>
          <t>Medium</t>
        </is>
      </c>
      <c r="H23" s="151" t="inlineStr">
        <is>
          <t>FR data hygiene</t>
        </is>
      </c>
      <c r="I23" s="151" t="inlineStr">
        <is>
          <t>Refresh list</t>
        </is>
      </c>
    </row>
    <row r="24" ht="99.75" customHeight="1" s="134">
      <c r="A24" s="169" t="n">
        <v>23</v>
      </c>
      <c r="B24" s="149" t="inlineStr">
        <is>
          <t>All</t>
        </is>
      </c>
      <c r="C24" s="151" t="inlineStr">
        <is>
          <t>Conversion goal status confirmed across all 3 LinkedIn accounts. Lead MQL/SQL broken pattern now fully evidenced.</t>
        </is>
      </c>
      <c r="D24" s="170" t="inlineStr">
        <is>
          <t>CRITICAL</t>
        </is>
      </c>
      <c r="E24" s="151" t="inlineStr">
        <is>
          <t>EN: Flow-Thank-you-page Inactive 3/2/2022 + Mapal-Demo-Form-Submission Active 4/15/2024 (28 ad sets). ES: LANDING EBOOK Inactive 6/19/2020 (matches Session 2 finding "1/3 broken"). FR: Lead MQL Inactive 11/14/2025 + "do not use - MAPAL OS - Thank You Page" still Active 2/26/2025 (matches Session 2 finding). Tag deployment Active and signalling on all 3 accounts. Issue is at conversion-event-trigger layer (same diagnostic shape as Google + Microsoft).</t>
        </is>
      </c>
      <c r="F24" s="151" t="inlineStr">
        <is>
          <t>Cross-channel root-cause investigation (Andy/RevOps). LinkedIn evidence reinforces the single-root-cause Friday data story #5.</t>
        </is>
      </c>
      <c r="G24" s="149" t="inlineStr">
        <is>
          <t>High</t>
        </is>
      </c>
      <c r="H24" s="151" t="inlineStr">
        <is>
          <t>Cross-channel</t>
        </is>
      </c>
      <c r="I24" s="151" t="inlineStr">
        <is>
          <t>Blocked on Andy</t>
        </is>
      </c>
    </row>
    <row r="25" ht="99.75" customHeight="1" s="134">
      <c r="A25" s="169" t="n">
        <v>24</v>
      </c>
      <c r="B25" s="149" t="inlineStr">
        <is>
          <t>EN</t>
        </is>
      </c>
      <c r="C25" s="151" t="inlineStr">
        <is>
          <t>EN Mapal-Shine-Event-Submission conversion: 63 ad set associations, Active. Highest-volume active conversion across all 3 LinkedIn accounts.</t>
        </is>
      </c>
      <c r="D25" s="241" t="inlineStr">
        <is>
          <t>INSIGHT</t>
        </is>
      </c>
      <c r="E25" s="151" t="inlineStr">
        <is>
          <t>Created 4/24/2025. 63 ad sets attached. Active and recording. Far more associations than any other Lead conversion (Demo Form Submission has 28).</t>
        </is>
      </c>
      <c r="F25" s="151" t="inlineStr">
        <is>
          <t>Understand what this conversion actually fires on. If it is a high-funnel event being treated as Lead Quality, attribution math is being distorted. Confirm definition with Andy.</t>
        </is>
      </c>
      <c r="G25" s="149" t="inlineStr">
        <is>
          <t>Medium</t>
        </is>
      </c>
      <c r="H25" s="151" t="inlineStr">
        <is>
          <t>EN attribution</t>
        </is>
      </c>
      <c r="I25" s="151" t="inlineStr">
        <is>
          <t>Verify with Andy</t>
        </is>
      </c>
    </row>
    <row r="26" ht="99.75" customHeight="1" s="134">
      <c r="A26" s="169" t="n">
        <v>25</v>
      </c>
      <c r="B26" s="149" t="inlineStr">
        <is>
          <t>ES</t>
        </is>
      </c>
      <c r="C26" s="151" t="inlineStr">
        <is>
          <t>ES Lead Gen Forms: "ES-LINKEDIN-ALL PROD-WHITEPAPER-Accelerated digitalization" delivers 5 leads, MX form delivers 5 leads. Active proven forms.</t>
        </is>
      </c>
      <c r="D26" s="241" t="inlineStr">
        <is>
          <t>INSIGHT</t>
        </is>
      </c>
      <c r="E26" s="151" t="inlineStr">
        <is>
          <t>Apr 23 2026 created, 5 leads, 1 ad set association. MX form Mar 4 2026, 5 leads, 4 ad set associations. Both on page 1 of 7 LGF pages on ES account. Pages 2-7 not captured (assumed dormant inventory).</t>
        </is>
      </c>
      <c r="F26" s="151" t="inlineStr">
        <is>
          <t>Use these 2 forms as ES Lead Gen playbook references when scaling Lead Gen Form approach to ES post-mid-June.</t>
        </is>
      </c>
      <c r="G26" s="149" t="inlineStr">
        <is>
          <t>None</t>
        </is>
      </c>
      <c r="H26" s="151" t="inlineStr">
        <is>
          <t>ES playbook</t>
        </is>
      </c>
      <c r="I26" s="151" t="inlineStr">
        <is>
          <t>Mid-June reference</t>
        </is>
      </c>
    </row>
    <row r="27" ht="99.75" customHeight="1" s="134">
      <c r="A27" s="169" t="n">
        <v>26</v>
      </c>
      <c r="B27" s="149" t="inlineStr">
        <is>
          <t>EN</t>
        </is>
      </c>
      <c r="C27" s="151" t="inlineStr">
        <is>
          <t>EN Lead Form - Gamified learning delivers 1 lead. Active.</t>
        </is>
      </c>
      <c r="D27" s="241" t="inlineStr">
        <is>
          <t>INSIGHT</t>
        </is>
      </c>
      <c r="E27" s="151" t="inlineStr">
        <is>
          <t>Created Mar 17 2026, 1 lead to date, 2 ad set associations. Only active EN Lead Gen Form producing leads.</t>
        </is>
      </c>
      <c r="F27" s="151" t="inlineStr">
        <is>
          <t>Use as EN playbook reference when scaling Lead Gen Form approach to UK Flow post-mid-June.</t>
        </is>
      </c>
      <c r="G27" s="149" t="inlineStr">
        <is>
          <t>None</t>
        </is>
      </c>
      <c r="H27" s="151" t="inlineStr">
        <is>
          <t>EN playbook</t>
        </is>
      </c>
      <c r="I27" s="151" t="inlineStr">
        <is>
          <t>Mid-June reference</t>
        </is>
      </c>
    </row>
    <row r="28" ht="99.75" customHeight="1" s="134">
      <c r="A28" s="169" t="n">
        <v>27</v>
      </c>
      <c r="B28" s="149" t="inlineStr">
        <is>
          <t>EN</t>
        </is>
      </c>
      <c r="C28" s="151" t="inlineStr">
        <is>
          <t>EN-QSR-FSR-ABM-Top-100 ad set still ACTIVE despite ABM narrow-Top-100 approach being deprioritised. Burning $20/day with structural optimization mismatch.</t>
        </is>
      </c>
      <c r="D28" s="172" t="inlineStr">
        <is>
          <t>HIGH</t>
        </is>
      </c>
      <c r="E28" s="151" t="inlineStr">
        <is>
          <t>Ad set ID 681102153, campaign group 1064102133. Status: Active. Bid: Manual $20/landing page click. Daily $20 / lifetime $500 / started 5/13/2026. Targeting: UK + Ireland + Canada + Australia + US (broader than UK-only). Optimizes on "Landing page clicks" not a conversion event. LinkedIn UI warning: "To optimize and report conversions, you need an active conversion." Selected conversion (CV_QSR-FSR_Top100_BlogSubscribe_2026 Active) is tracking-only.</t>
        </is>
      </c>
      <c r="F28" s="151" t="inlineStr">
        <is>
          <t>Decision needed: pause now (saves ~$7K/yr forward run-rate, aligned with FR plays kill logic) OR keep running until Friday Zibi share + joint kill proposal. Either way, this is structurally broken (narrow Top-100 + no conversion optimization) and should not be the long-term posture.</t>
        </is>
      </c>
      <c r="G28" s="149" t="inlineStr">
        <is>
          <t>Low</t>
        </is>
      </c>
      <c r="H28" s="151" t="inlineStr">
        <is>
          <t>EN Flow</t>
        </is>
      </c>
      <c r="I28" s="151" t="inlineStr">
        <is>
          <t>Decision pending</t>
        </is>
      </c>
    </row>
    <row r="29" ht="99.75" customHeight="1" s="134">
      <c r="A29" s="169" t="n">
        <v>28</v>
      </c>
      <c r="B29" s="149" t="inlineStr">
        <is>
          <t>ES</t>
        </is>
      </c>
      <c r="C29" s="151" t="inlineStr">
        <is>
          <t>ES LANDING EBOOK (Inactive conversion) IS attached to the paused ES ABM ad set. Cleanup target when ES reactivates.</t>
        </is>
      </c>
      <c r="D29" s="242" t="inlineStr">
        <is>
          <t>MEDIUM</t>
        </is>
      </c>
      <c r="E29" s="151" t="inlineStr">
        <is>
          <t>ES ad set "ES - Feed TOP 100" (ID 620007526, parent group 860106956). Status: Paused. 3 conversions attached: Mapal - Demo Form Submission (Active), MAPAL OS - Thank You Page (Active), LANDING EBOOK (Inactive). Lead MQL / Lead SQL not present in ES account picker at all.</t>
        </is>
      </c>
      <c r="F29" s="151" t="inlineStr">
        <is>
          <t>When ES reactivates: remove LANDING EBOOK attachment OR reactivate it. Currently no live impact because ad set is paused.</t>
        </is>
      </c>
      <c r="G29" s="149" t="inlineStr">
        <is>
          <t>Low</t>
        </is>
      </c>
      <c r="H29" s="151" t="inlineStr">
        <is>
          <t>ES Workforce</t>
        </is>
      </c>
      <c r="I29" s="151" t="inlineStr">
        <is>
          <t>Mid-June cleanup</t>
        </is>
      </c>
    </row>
    <row r="30" ht="99.75" customHeight="1" s="134">
      <c r="A30" s="169" t="n">
        <v>29</v>
      </c>
      <c r="B30" s="149" t="inlineStr">
        <is>
          <t>All</t>
        </is>
      </c>
      <c r="C30" s="151" t="inlineStr">
        <is>
          <t>Lead MQL / Lead SQL conversion is NOT attached to any ABM ad set across the 3 LinkedIn accounts. The damage is upstream/account-level absence, not misconfiguration at ad-set level.</t>
        </is>
      </c>
      <c r="D30" s="241" t="inlineStr">
        <is>
          <t>INSIGHT</t>
        </is>
      </c>
      <c r="E30" s="151" t="inlineStr">
        <is>
          <t>FR: Lead MQL exists at account level (Inactive 11/14/2025), NOT attached to the FR ABM ad set. ES: Lead MQL / Lead SQL not in account picker at all. EN: Lead MQL / Lead SQL not in account picker at all. Each ABM ad set has exactly 1 conversion selected, all pointed at different events (GTM-based form submission FR, Blog subscribe EN, Demo form ES).</t>
        </is>
      </c>
      <c r="F30" s="151" t="inlineStr">
        <is>
          <t>Strengthens Friday data story #5: the cross-channel attribution break manifests differently across LinkedIn accounts (different conversions selected, Lead MQL/SQL not even present in 2 of 3 accounts). Single root-cause investigation with Andy/RevOps to add Lead MQL/SQL as a proper account-level conversion across all 3 LinkedIn accounts + ensure it fires correctly.</t>
        </is>
      </c>
      <c r="G30" s="149" t="inlineStr">
        <is>
          <t>None</t>
        </is>
      </c>
      <c r="H30" s="151" t="inlineStr">
        <is>
          <t>Cross-channel</t>
        </is>
      </c>
      <c r="I30" s="151" t="inlineStr">
        <is>
          <t>Friday talking point</t>
        </is>
      </c>
    </row>
    <row r="31" ht="99.75" customHeight="1" s="134">
      <c r="A31" s="169" t="n">
        <v>30</v>
      </c>
      <c r="B31" s="149" t="inlineStr">
        <is>
          <t>FR</t>
        </is>
      </c>
      <c r="C31" s="151" t="inlineStr">
        <is>
          <t>FR ABM ad set conversion attachment is clean. Only Active "Mapal Demo Form Submission Via GTM" attached. No Inactive or do-not-use conversions on this ad set.</t>
        </is>
      </c>
      <c r="D31" s="241" t="inlineStr">
        <is>
          <t>INSIGHT</t>
        </is>
      </c>
      <c r="E31" s="151" t="inlineStr">
        <is>
          <t>FR ad set PPC-Q2-2026-FR-CAT-Top-100-CC-Play-1 (ID 577219164). Status: Active. Daily €20. Bid: Maximum delivery. Optimization goal: Sends (it is a Message Ad, so the conversion is effectively tracking-only). Selected conversion: Mapal - Demo Form Submission - Via GTM (Active). The Lead MQL (Inactive) and "do not use - MAPAL OS - Thank You Page" exist at account level but are NOT attached here.</t>
        </is>
      </c>
      <c r="F31" s="151" t="inlineStr">
        <is>
          <t>No ad-set-level cleanup needed for this campaign. This is the FR ABM that the rescue plan rescoped to broader audience. When the rescued campaign launches, the same clean conversion attachment can carry forward.</t>
        </is>
      </c>
      <c r="G31" s="149" t="inlineStr">
        <is>
          <t>None</t>
        </is>
      </c>
      <c r="H31" s="151" t="inlineStr">
        <is>
          <t>FR Easilys</t>
        </is>
      </c>
      <c r="I31" s="151" t="inlineStr">
        <is>
          <t>No action needed</t>
        </is>
      </c>
    </row>
    <row r="32" ht="99.75" customHeight="1" s="134">
      <c r="A32" s="169" t="n">
        <v>31</v>
      </c>
      <c r="B32" s="149" t="inlineStr">
        <is>
          <t>EN</t>
        </is>
      </c>
      <c r="C32" s="151" t="inlineStr">
        <is>
          <t>EN ABM ad set targeting includes UK + Ireland + Canada + Australia + US. Broader than UK-only.</t>
        </is>
      </c>
      <c r="D32" s="241" t="inlineStr">
        <is>
          <t>INSIGHT</t>
        </is>
      </c>
      <c r="E32" s="151" t="inlineStr">
        <is>
          <t>Targeting setting on ad set 681102153 covers 5 English-speaking markets, not just UK. Original task brief framed this as "UK ABM" but it is actually multi-country English audience.</t>
        </is>
      </c>
      <c r="F32" s="151" t="inlineStr">
        <is>
          <t>When the UK A/B video test (rescued in ABM triage) launches against "broader UK Flow ICP audience" — clarify whether to scope to UK-only OR keep multi-country English exposure. Either is defensible. Multi-country may help exit cold-start faster but dilutes UK Flow product-market focus.</t>
        </is>
      </c>
      <c r="G32" s="149" t="inlineStr">
        <is>
          <t>None</t>
        </is>
      </c>
      <c r="H32" s="151" t="inlineStr">
        <is>
          <t>UK Flow</t>
        </is>
      </c>
      <c r="I32" s="151" t="inlineStr">
        <is>
          <t>Clarify on rescue build</t>
        </is>
      </c>
    </row>
    <row r="33" ht="15.75" customHeight="1" s="134"/>
    <row r="34" ht="15.75" customHeight="1" s="134"/>
    <row r="35" ht="15.75" customHeight="1" s="134"/>
    <row r="36" ht="15.75" customHeight="1" s="134"/>
    <row r="37" ht="15.75" customHeight="1" s="134"/>
    <row r="38" ht="15.75" customHeight="1" s="134"/>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I2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4.43359375" defaultRowHeight="15" zeroHeight="0" outlineLevelRow="0"/>
  <cols>
    <col width="4" customWidth="1" style="133" min="1" max="1"/>
    <col width="8" customWidth="1" style="133" min="2" max="2"/>
    <col width="38" customWidth="1" style="133" min="3" max="3"/>
    <col width="11" customWidth="1" style="133" min="4" max="4"/>
    <col width="55" customWidth="1" style="133" min="5" max="5"/>
    <col width="50" customWidth="1" style="133" min="6" max="6"/>
    <col width="8" customWidth="1" style="133" min="7" max="7"/>
    <col width="18" customWidth="1" style="133" min="8" max="8"/>
    <col width="22" customWidth="1" style="133" min="9" max="9"/>
    <col width="8.710000000000001" customWidth="1" style="133" min="10" max="26"/>
  </cols>
  <sheetData>
    <row r="1" ht="15" customHeight="1" s="134">
      <c r="A1" s="148" t="inlineStr">
        <is>
          <t>#</t>
        </is>
      </c>
      <c r="B1" s="148" t="inlineStr">
        <is>
          <t>Market</t>
        </is>
      </c>
      <c r="C1" s="148" t="inlineStr">
        <is>
          <t>Finding</t>
        </is>
      </c>
      <c r="D1" s="148" t="inlineStr">
        <is>
          <t>Severity</t>
        </is>
      </c>
      <c r="E1" s="148" t="inlineStr">
        <is>
          <t>Evidence</t>
        </is>
      </c>
      <c r="F1" s="148" t="inlineStr">
        <is>
          <t>Recommendation</t>
        </is>
      </c>
      <c r="G1" s="148" t="inlineStr">
        <is>
          <t>Effort</t>
        </is>
      </c>
      <c r="H1" s="148" t="inlineStr">
        <is>
          <t>Aligned with Map</t>
        </is>
      </c>
      <c r="I1" s="148" t="inlineStr">
        <is>
          <t>Status</t>
        </is>
      </c>
    </row>
    <row r="2" ht="99.75" customHeight="1" s="134">
      <c r="A2" s="169" t="n">
        <v>1</v>
      </c>
      <c r="B2" s="149" t="inlineStr">
        <is>
          <t>UK</t>
        </is>
      </c>
      <c r="C2" s="151" t="inlineStr">
        <is>
          <t>UK Microsoft Ads BRAND DEFENCE OFF (account 100% paused). Extends Google Ads UK brand pause finding.</t>
        </is>
      </c>
      <c r="D2" s="170" t="inlineStr">
        <is>
          <t>CRITICAL</t>
        </is>
      </c>
      <c r="E2" s="151" t="inlineStr">
        <is>
          <t>EN-BING ADS account: every campaign paused including (CORE) Mapal-EN. Site banner: "None of your ads are running". €3,494 spent in window then paused. Mapal brand undefended across BOTH Google AND Bing in UK. Daily budget capacity €393/day (~€11.8K/month) sitting latent.</t>
        </is>
      </c>
      <c r="F2" s="151" t="inlineStr">
        <is>
          <t>Re-evaluate alongside the UK Google Ads brand defence unpause. If Google brand defence is unpaused, Bing brand defence should follow (small daily budget, low CPCs, captures 5-10% UK search volume Google misses).</t>
        </is>
      </c>
      <c r="G2" s="149" t="inlineStr">
        <is>
          <t>Low</t>
        </is>
      </c>
      <c r="H2" s="151" t="inlineStr">
        <is>
          <t>UK Flow brand</t>
        </is>
      </c>
      <c r="I2" s="151" t="inlineStr">
        <is>
          <t>Friday talking point</t>
        </is>
      </c>
    </row>
    <row r="3" ht="99.75" customHeight="1" s="134">
      <c r="A3" s="169" t="n">
        <v>2</v>
      </c>
      <c r="B3" s="149" t="inlineStr">
        <is>
          <t>FR</t>
        </is>
      </c>
      <c r="C3" s="151" t="inlineStr">
        <is>
          <t>Workforce running on FR Microsoft Ads against product-readiness map. ~€785/90d (27% of FR Bing spend) on a product France can not sell.</t>
        </is>
      </c>
      <c r="D3" s="170" t="inlineStr">
        <is>
          <t>CRITICAL</t>
        </is>
      </c>
      <c r="E3" s="151" t="inlineStr">
        <is>
          <t>4 active/recent Workforce campaigns: (CORE) Workforce-FR €370.68/0 conv, 3 Scale-keywords variants €414/1 conv combined. Top FR Bing keyword: "logiciel mapal workforce" €223 / 551 clicks / 0 conv. Same mechanism as ES Workforce-on-Google waste, wrong market. QoQ trend: Workforce up 51% and 194% clicks (top click-growth campaigns).</t>
        </is>
      </c>
      <c r="F3" s="151" t="inlineStr">
        <is>
          <t>Pause all FR Workforce campaigns on Microsoft Ads (per readiness map: FR is Easilys flagship, NOT Workforce). Reallocate spend to (CORE) Easilys + Easilys Scale variants which already convert.</t>
        </is>
      </c>
      <c r="G3" s="149" t="inlineStr">
        <is>
          <t>Low</t>
        </is>
      </c>
      <c r="H3" s="151" t="inlineStr">
        <is>
          <t>FR Easilys (kill Workforce)</t>
        </is>
      </c>
      <c r="I3" s="151" t="inlineStr">
        <is>
          <t>Ready to ship</t>
        </is>
      </c>
    </row>
    <row r="4" ht="99.75" customHeight="1" s="134">
      <c r="A4" s="169" t="n">
        <v>3</v>
      </c>
      <c r="B4" s="149" t="inlineStr">
        <is>
          <t>All</t>
        </is>
      </c>
      <c r="C4" s="151" t="inlineStr">
        <is>
          <t>Lead MQL + Lead SQL goals "No recent conversions" on BOTH Microsoft accounts. Extends pattern across Google + LinkedIn + Microsoft.</t>
        </is>
      </c>
      <c r="D4" s="170" t="inlineStr">
        <is>
          <t>CRITICAL</t>
        </is>
      </c>
      <c r="E4" s="151" t="inlineStr">
        <is>
          <t>EN: Mapal Demo Form, Lead SQL, Lead MQL all flagged "No recent conversions". FR: Lead SQL, Lead MQL same. Only goal recording is "Negative Signals (Login and Support)" which is excluded from "Conv." count. Single UET tag IS firing (negative signals 32x EN, 390x FR). Breakage is at trigger/event level, not tag deployment. Same diagnostic shape as Google Ads + LinkedIn Lead MQL Inactive 4 weeks.</t>
        </is>
      </c>
      <c r="F4" s="151" t="inlineStr">
        <is>
          <t>Conversion goal trigger: the UET fires (ours); events arriving depends on the HubSpot to Microsoft sync (RevOps) and the same dataLayer fix.</t>
        </is>
      </c>
      <c r="G4" s="149" t="inlineStr">
        <is>
          <t>High</t>
        </is>
      </c>
      <c r="H4" s="151" t="inlineStr">
        <is>
          <t>Cross-channel</t>
        </is>
      </c>
      <c r="I4" s="151" t="inlineStr">
        <is>
          <t>Blocked on Andy</t>
        </is>
      </c>
    </row>
    <row r="5" ht="99.75" customHeight="1" s="134">
      <c r="A5" s="169" t="n">
        <v>4</v>
      </c>
      <c r="B5" s="149" t="inlineStr">
        <is>
          <t>UK</t>
        </is>
      </c>
      <c r="C5" s="151" t="inlineStr">
        <is>
          <t>EN account time zone set to Helsinki/Kyiv/Riga (GMT+02:00) for a UK-targeted account. Config error.</t>
        </is>
      </c>
      <c r="D5" s="172" t="inlineStr">
        <is>
          <t>HIGH</t>
        </is>
      </c>
      <c r="E5" s="151" t="inlineStr">
        <is>
          <t>EN-BING ADS account settings: time zone GMT+02:00 Helsinki/Kyiv/Riga/Sofia/Tallinn/Vilnius. Should be Europe/London. Breaks day-parting reports, distorts hourly performance analysis, breaks cross-account YoY comparison with Google Ads UK.</t>
        </is>
      </c>
      <c r="F5" s="151" t="inlineStr">
        <is>
          <t>Change time zone to Europe/London in account settings. Note: Microsoft Ads typically locks time zone after first campaign created — may require Microsoft support ticket to change. Confirm with Microsoft.</t>
        </is>
      </c>
      <c r="G5" s="149" t="inlineStr">
        <is>
          <t>Low</t>
        </is>
      </c>
      <c r="H5" s="151" t="inlineStr">
        <is>
          <t>Hygiene</t>
        </is>
      </c>
      <c r="I5" s="151" t="inlineStr">
        <is>
          <t>Quick fix or support ticket</t>
        </is>
      </c>
    </row>
    <row r="6" ht="99.75" customHeight="1" s="134">
      <c r="A6" s="169" t="n">
        <v>5</v>
      </c>
      <c r="B6" s="149" t="inlineStr">
        <is>
          <t>UK</t>
        </is>
      </c>
      <c r="C6" s="151" t="inlineStr">
        <is>
          <t>EN account currency EUR not GBP. Distorts consolidated reporting.</t>
        </is>
      </c>
      <c r="D6" s="172" t="inlineStr">
        <is>
          <t>HIGH</t>
        </is>
      </c>
      <c r="E6" s="151" t="inlineStr">
        <is>
          <t>EN-BING ADS account currency: EUR. Mapal UK Google Ads reports in GBP. Currency mismatch on any UK consolidated paid-channel report. FX volatility adds noise to YoY comparisons.</t>
        </is>
      </c>
      <c r="F6" s="151" t="inlineStr">
        <is>
          <t>Cannot change currency on an existing Microsoft Ads account (locked at creation). Options: (a) accept the mismatch, normalize at reporting layer with FX conversion. (b) create new GBP-denominated UK account, migrate campaigns, archive EUR account. Recommendation: (a) for now, document in master sheet. Revisit if UK Bing budget grows materially.</t>
        </is>
      </c>
      <c r="G6" s="149" t="inlineStr">
        <is>
          <t>Medium</t>
        </is>
      </c>
      <c r="H6" s="151" t="inlineStr">
        <is>
          <t>Hygiene</t>
        </is>
      </c>
      <c r="I6" s="151" t="inlineStr">
        <is>
          <t>Document, accept</t>
        </is>
      </c>
    </row>
    <row r="7" ht="99.75" customHeight="1" s="134">
      <c r="A7" s="169" t="n">
        <v>6</v>
      </c>
      <c r="B7" s="149" t="inlineStr">
        <is>
          <t>FR</t>
        </is>
      </c>
      <c r="C7" s="151" t="inlineStr">
        <is>
          <t>FR Mapal brand auctions: Skello, Sage, Eurecia, guide-erp.fr competitors active. Impression share 1.24%-55.81%.</t>
        </is>
      </c>
      <c r="D7" s="172" t="inlineStr">
        <is>
          <t>HIGH</t>
        </is>
      </c>
      <c r="E7" s="151" t="inlineStr">
        <is>
          <t>(CORE) Mapal-FR Active with 84.9% opt score. €215.52 / 90d / 0 conv attributed. Competition tile shows 4 advertisers: skello.io (consistent presence), sage.com, eurecia.com, guide-erp.fr. Same Skello brand-overlap pattern as LinkedIn ES competitive surface.</t>
        </is>
      </c>
      <c r="F7" s="151" t="inlineStr">
        <is>
          <t>Bid up on Mapal brand in FR Bing (small absolute budget, high IS gain). Track Skello specifically as a recurring FR competitor across paid surfaces.</t>
        </is>
      </c>
      <c r="G7" s="149" t="inlineStr">
        <is>
          <t>Low</t>
        </is>
      </c>
      <c r="H7" s="151" t="inlineStr">
        <is>
          <t>FR brand defence</t>
        </is>
      </c>
      <c r="I7" s="151" t="inlineStr">
        <is>
          <t>Ready</t>
        </is>
      </c>
    </row>
    <row r="8" ht="99.75" customHeight="1" s="134">
      <c r="A8" s="169" t="n">
        <v>7</v>
      </c>
      <c r="B8" s="149" t="inlineStr">
        <is>
          <t>FR</t>
        </is>
      </c>
      <c r="C8" s="151" t="inlineStr">
        <is>
          <t>FR brand budget eaten by Workforce-tagged Mapal-brand queries. €369 on 2 keywords alone.</t>
        </is>
      </c>
      <c r="D8" s="172" t="inlineStr">
        <is>
          <t>HIGH</t>
        </is>
      </c>
      <c r="E8" s="151" t="inlineStr">
        <is>
          <t>Top FR Bing keywords by spend: "logiciel mapal workforce" €223.39 / 551 clicks, "mapal workforce logiciel" €145.96 / 349 clicks. Both Mapal-branded queries that explicitly mention Workforce. Eating FR brand budget pushing users toward a product FR cannot sell.</t>
        </is>
      </c>
      <c r="F8" s="151" t="inlineStr">
        <is>
          <t>Add Workforce-mention terms as negatives on FR brand campaigns. Or redirect those queries to a holding page explaining French market position.</t>
        </is>
      </c>
      <c r="G8" s="149" t="inlineStr">
        <is>
          <t>Low</t>
        </is>
      </c>
      <c r="H8" s="151" t="inlineStr">
        <is>
          <t>FR Easilys</t>
        </is>
      </c>
      <c r="I8" s="151" t="inlineStr">
        <is>
          <t>Ready</t>
        </is>
      </c>
    </row>
    <row r="9" ht="99.75" customHeight="1" s="134">
      <c r="A9" s="169" t="n">
        <v>8</v>
      </c>
      <c r="B9" s="149" t="inlineStr">
        <is>
          <t>UK</t>
        </is>
      </c>
      <c r="C9" s="151" t="inlineStr">
        <is>
          <t>EN top wasted keywords: 5 keywords / 0 conv / €1,570 total. Hospitality / hotel software generic terms not converting.</t>
        </is>
      </c>
      <c r="D9" s="172" t="inlineStr">
        <is>
          <t>HIGH</t>
        </is>
      </c>
      <c r="E9" s="151" t="inlineStr">
        <is>
          <t>"hospitality training" €470/85 clicks/0 conv. "hospitality software" €424/91 clicks/0 conv. "hotel management software" €260/90 clicks/0 conv. "food safety compliance" €240/150 clicks/0 conv. "restaurant software" €175/48 clicks/0 conv. All 0 conv but tracking is broken so attribution may be hiding real conversions.</t>
        </is>
      </c>
      <c r="F9" s="151" t="inlineStr">
        <is>
          <t>Defer until conversion goals fixed (cannot judge true performance with broken attribution). Once tracking restored: review each keyword vs SQL-rate over 30d before pausing.</t>
        </is>
      </c>
      <c r="G9" s="149" t="inlineStr">
        <is>
          <t>Medium</t>
        </is>
      </c>
      <c r="H9" s="151" t="inlineStr">
        <is>
          <t>UK Flow</t>
        </is>
      </c>
      <c r="I9" s="151" t="inlineStr">
        <is>
          <t>Blocked on tracking fix</t>
        </is>
      </c>
    </row>
    <row r="10" ht="99.75" customHeight="1" s="134">
      <c r="A10" s="169" t="n">
        <v>9</v>
      </c>
      <c r="B10" s="149" t="inlineStr">
        <is>
          <t>UK</t>
        </is>
      </c>
      <c r="C10" s="151" t="inlineStr">
        <is>
          <t>EN Mapal bidding ON competitor brand keywords (resdiary, cadence hospitality solutions). Inverse pattern to Google.</t>
        </is>
      </c>
      <c r="D10" s="242" t="inlineStr">
        <is>
          <t>MEDIUM</t>
        </is>
      </c>
      <c r="E10" s="151" t="inlineStr">
        <is>
          <t>"resdiary" €56.70/11 clicks/0 conv. "cadence hospitality solutions" €38.33/2 clicks/0 conv. Mapal IS the offensive bidder here, opposite of Google UK where competitors bid on Mapal brand unopposed.</t>
        </is>
      </c>
      <c r="F10" s="151" t="inlineStr">
        <is>
          <t>Decision: continue or kill competitor brand bids. Generally OK if CPL is acceptable, but with broken tracking and 0 attributed conv, hard to justify. Defer alongside tracking fix.</t>
        </is>
      </c>
      <c r="G10" s="149" t="inlineStr">
        <is>
          <t>Low</t>
        </is>
      </c>
      <c r="H10" s="151" t="inlineStr">
        <is>
          <t>UK Flow</t>
        </is>
      </c>
      <c r="I10" s="151" t="inlineStr">
        <is>
          <t>Defer</t>
        </is>
      </c>
    </row>
    <row r="11" ht="99.75" customHeight="1" s="134">
      <c r="A11" s="169" t="n">
        <v>10</v>
      </c>
      <c r="B11" s="149" t="inlineStr">
        <is>
          <t>FR</t>
        </is>
      </c>
      <c r="C11" s="151" t="inlineStr">
        <is>
          <t>FR Audience ads (Microsoft Audience Network) burning €900/90d / 1 conv. 31% of FR Bing spend.</t>
        </is>
      </c>
      <c r="D11" s="172" t="inlineStr">
        <is>
          <t>HIGH</t>
        </is>
      </c>
      <c r="E11" s="151" t="inlineStr">
        <is>
          <t>1,656 clicks, 629,868 impressions, €900.91 spent, 1 conv attributed. Display/audience remarketing surface, broad targeting, near-zero output.</t>
        </is>
      </c>
      <c r="F11" s="151" t="inlineStr">
        <is>
          <t>Pause all FR Microsoft Audience Network campaigns until structure + targeting reviewed. Save ~€300/month immediately. Reactivate later as proper remarketing for Easilys site visitors only.</t>
        </is>
      </c>
      <c r="G11" s="149" t="inlineStr">
        <is>
          <t>Low</t>
        </is>
      </c>
      <c r="H11" s="151" t="inlineStr">
        <is>
          <t>FR Easilys</t>
        </is>
      </c>
      <c r="I11" s="151" t="inlineStr">
        <is>
          <t>Ready</t>
        </is>
      </c>
    </row>
    <row r="12" ht="99.75" customHeight="1" s="134">
      <c r="A12" s="169" t="n">
        <v>11</v>
      </c>
      <c r="B12" s="149" t="inlineStr">
        <is>
          <t>ES</t>
        </is>
      </c>
      <c r="C12" s="151" t="inlineStr">
        <is>
          <t>No ES/Spain Microsoft Ads account exists. ES paid demand on Bing uncovered.</t>
        </is>
      </c>
      <c r="D12" s="242" t="inlineStr">
        <is>
          <t>MEDIUM</t>
        </is>
      </c>
      <c r="E12" s="151" t="inlineStr">
        <is>
          <t>Only 2 accounts under MAPAL SOFTWARE manager: EN + FR. No Iberia, no Nordics. LinkedIn ES UET tag confirmed earlier has no matching Bing account to fire into.</t>
        </is>
      </c>
      <c r="F12" s="151" t="inlineStr">
        <is>
          <t>Open Spain Microsoft Ads account for Q3 if Workforce-ES Google waste reallocation creates budget. Lower priority — Bing share in Spain ~3-4%, smaller than UK ~5%.</t>
        </is>
      </c>
      <c r="G12" s="149" t="inlineStr">
        <is>
          <t>Medium</t>
        </is>
      </c>
      <c r="H12" s="151" t="inlineStr">
        <is>
          <t>ES Workforce</t>
        </is>
      </c>
      <c r="I12" s="151" t="inlineStr">
        <is>
          <t>Q3 consideration</t>
        </is>
      </c>
    </row>
    <row r="13" ht="99.75" customHeight="1" s="134">
      <c r="A13" s="169" t="n">
        <v>12</v>
      </c>
      <c r="B13" s="149" t="inlineStr">
        <is>
          <t>FR</t>
        </is>
      </c>
      <c r="C13" s="151" t="inlineStr">
        <is>
          <t>FR Workforce QoQ trending UP. Investment moving in wrong direction.</t>
        </is>
      </c>
      <c r="D13" s="172" t="inlineStr">
        <is>
          <t>HIGH</t>
        </is>
      </c>
      <c r="E13" s="151" t="inlineStr">
        <is>
          <t>Top 3 click-growth campaigns QoQ on FR Bing: Workforce Scale Exact +194% clicks, (CORE) Workforce +51% clicks, (GROW) Easilys Scale Exact +66% clicks (only one map-compliant). Contractor was optimising click volume without product-market gate.</t>
        </is>
      </c>
      <c r="F13" s="151" t="inlineStr">
        <is>
          <t>Once Workforce paused (per finding 2), this trend reverses. Use as evidence for the Friday Zibi share: "contractor optimisation was disconnected from product readiness".</t>
        </is>
      </c>
      <c r="G13" s="149" t="inlineStr">
        <is>
          <t>None</t>
        </is>
      </c>
      <c r="H13" s="151" t="inlineStr">
        <is>
          <t>FR Easilys</t>
        </is>
      </c>
      <c r="I13" s="151" t="inlineStr">
        <is>
          <t>Friday talking point</t>
        </is>
      </c>
    </row>
    <row r="14" ht="99.75" customHeight="1" s="134">
      <c r="A14" s="169" t="n">
        <v>13</v>
      </c>
      <c r="B14" s="149" t="inlineStr">
        <is>
          <t>UK</t>
        </is>
      </c>
      <c r="C14" s="151" t="inlineStr">
        <is>
          <t>EN audience clutter: 134 audience associations, mostly auto-attached.</t>
        </is>
      </c>
      <c r="D14" s="242" t="inlineStr">
        <is>
          <t>MEDIUM</t>
        </is>
      </c>
      <c r="E14" s="151" t="inlineStr">
        <is>
          <t>134 audience associations on the Audiences page, all "In-market audience" / "Bid only" / attached to paused campaigns. Categories: /Business &amp; Industrial Products and /Business Services across 9 main campaigns. Microsoft auto-attached. Not a fresh-spend leak (all campaigns paused) but a cleanup item when campaigns reactivate.</t>
        </is>
      </c>
      <c r="F14" s="151" t="inlineStr">
        <is>
          <t>Cleanup pass when EN campaigns are reactivated. Decouple auto-attached audiences, keep only intentionally-targeted ones.</t>
        </is>
      </c>
      <c r="G14" s="149" t="inlineStr">
        <is>
          <t>Low</t>
        </is>
      </c>
      <c r="H14" s="151" t="inlineStr">
        <is>
          <t>Hygiene</t>
        </is>
      </c>
      <c r="I14" s="151" t="inlineStr">
        <is>
          <t>Defer</t>
        </is>
      </c>
    </row>
    <row r="15" ht="99.75" customHeight="1" s="134">
      <c r="A15" s="169" t="n">
        <v>14</v>
      </c>
      <c r="B15" s="149" t="inlineStr">
        <is>
          <t>UK</t>
        </is>
      </c>
      <c r="C15" s="151" t="inlineStr">
        <is>
          <t>EN has "YouTube" campaign type (misclassified Microsoft Audience).</t>
        </is>
      </c>
      <c r="D15" s="245" t="inlineStr">
        <is>
          <t>LOW</t>
        </is>
      </c>
      <c r="E15" s="151" t="inlineStr">
        <is>
          <t>(GROW) Youtube - EN listed as Audience type, daily budget €25, paused. Microsoft Ads does not natively run YouTube — this is a misnamed Microsoft Audience campaign.</t>
        </is>
      </c>
      <c r="F15" s="151" t="inlineStr">
        <is>
          <t>Rename for clarity when EN campaigns are reviewed for unpause. Confirm targeting is Microsoft Audience Network not something orphaned.</t>
        </is>
      </c>
      <c r="G15" s="149" t="inlineStr">
        <is>
          <t>Low</t>
        </is>
      </c>
      <c r="H15" s="151" t="inlineStr">
        <is>
          <t>Hygiene</t>
        </is>
      </c>
      <c r="I15" s="151" t="inlineStr">
        <is>
          <t>Defer</t>
        </is>
      </c>
    </row>
    <row r="16" ht="99.75" customHeight="1" s="134">
      <c r="A16" s="169" t="n">
        <v>15</v>
      </c>
      <c r="B16" s="149" t="inlineStr">
        <is>
          <t>UK</t>
        </is>
      </c>
      <c r="C16" s="151" t="inlineStr">
        <is>
          <t>Duplicate misspelled campaign: "(GROW) Food Complience Software" alongside "(GROW) Food Compliance - EN".</t>
        </is>
      </c>
      <c r="D16" s="245" t="inlineStr">
        <is>
          <t>LOW</t>
        </is>
      </c>
      <c r="E16" s="151" t="inlineStr">
        <is>
          <t>Two compliance campaigns, one with typo "Complience". The misspelled one has €60/day budget but 0 spend — likely never enabled.</t>
        </is>
      </c>
      <c r="F16" s="151" t="inlineStr">
        <is>
          <t>Archive the misspelled duplicate. Keep the correctly-named one.</t>
        </is>
      </c>
      <c r="G16" s="149" t="inlineStr">
        <is>
          <t>Low</t>
        </is>
      </c>
      <c r="H16" s="151" t="inlineStr">
        <is>
          <t>Hygiene</t>
        </is>
      </c>
      <c r="I16" s="151" t="inlineStr">
        <is>
          <t>Quick fix</t>
        </is>
      </c>
    </row>
    <row r="17" ht="99.75" customHeight="1" s="134">
      <c r="A17" s="169" t="n">
        <v>16</v>
      </c>
      <c r="B17" s="149" t="inlineStr">
        <is>
          <t>All</t>
        </is>
      </c>
      <c r="C17" s="151" t="inlineStr">
        <is>
          <t>Single shared UET tag "Mapal" (343207640) is active and firing. Tag deployment healthy across both accounts.</t>
        </is>
      </c>
      <c r="D17" s="241" t="inlineStr">
        <is>
          <t>INSIGHT</t>
        </is>
      </c>
      <c r="E17" s="151" t="inlineStr">
        <is>
          <t>Account-level UET firing confirmed by Negative Signals goal: 32 fires EN, 390 fires FR in window. 3 goals attached to EN, equivalent on FR. Same tag is referenced by LinkedIn EN side per earlier audits.</t>
        </is>
      </c>
      <c r="F17" s="151" t="inlineStr">
        <is>
          <t>Use as Friday contrast: "Microsoft + LinkedIn tag infrastructure is healthy. Google conversion signal is the outlier."</t>
        </is>
      </c>
      <c r="G17" s="149" t="inlineStr">
        <is>
          <t>None</t>
        </is>
      </c>
      <c r="H17" s="151" t="inlineStr">
        <is>
          <t>Cross-channel</t>
        </is>
      </c>
      <c r="I17" s="151" t="inlineStr">
        <is>
          <t>Talking point</t>
        </is>
      </c>
    </row>
    <row r="18" ht="99.75" customHeight="1" s="134">
      <c r="A18" s="169" t="n">
        <v>17</v>
      </c>
      <c r="B18" s="149" t="inlineStr">
        <is>
          <t>UK</t>
        </is>
      </c>
      <c r="C18" s="151" t="inlineStr">
        <is>
          <t>EN account spent €3,494 in window then paused. Need to understand when paused and why.</t>
        </is>
      </c>
      <c r="D18" s="242" t="inlineStr">
        <is>
          <t>MEDIUM</t>
        </is>
      </c>
      <c r="E18" s="151" t="inlineStr">
        <is>
          <t>EN account has €393/day total budget capacity sitting latent. Some spend happened in the window (search ads €3,361, audience ads €132). Pause date and reason not captured in this session.</t>
        </is>
      </c>
      <c r="F18" s="151" t="inlineStr">
        <is>
          <t>Confirm with Lukas / Zibi: when was EN account paused and why. Likely related to contractor termination 25 May, but may have been paused earlier (changing the unpause-as-is decision calculus).</t>
        </is>
      </c>
      <c r="G18" s="149" t="inlineStr">
        <is>
          <t>Low</t>
        </is>
      </c>
      <c r="H18" s="151" t="inlineStr">
        <is>
          <t>Governance</t>
        </is>
      </c>
      <c r="I18" s="151" t="inlineStr">
        <is>
          <t>Confirm with Zibi</t>
        </is>
      </c>
    </row>
    <row r="19" ht="109.5" customHeight="1" s="134">
      <c r="A19" s="169" t="n">
        <v>18</v>
      </c>
      <c r="B19" s="149" t="inlineStr">
        <is>
          <t>All</t>
        </is>
      </c>
      <c r="C19" s="151" t="inlineStr">
        <is>
          <t>TERMINATED CONTRACTOR LUKAS RETAINS PRIMARY SUPER ADMIN ACCESS via @gmail.com on BOTH Bing accounts</t>
        </is>
      </c>
      <c r="D19" s="170" t="inlineStr">
        <is>
          <t>CRITICAL</t>
        </is>
      </c>
      <c r="E19" s="151" t="inlineStr">
        <is>
          <t>User management surface: Luksius11@gmail.com (Lukas Pangonis) is PRIMARY Super Admin, personal Gmail account, sign-in type "Personal account", last sign-in 05/05/2026 (after termination 25/05/2026 would mean he kept signing in). Same governance risk pattern as Google Ads ES, same person. "Require sign-in with a work account: Off" is what permits the personal Gmail to exist as admin. Zibi (also Super Admin) can revoke immediately.</t>
        </is>
      </c>
      <c r="F19" s="151" t="inlineStr">
        <is>
          <t>Revoke Luksius11@gmail.com Super Admin access on both EN-BING ADS and FR-BING ADS immediately. Then flip "Require sign-in with a work account" to ON to prevent recurrence. Highest-severity finding across the entire audit.</t>
        </is>
      </c>
      <c r="G19" s="149" t="inlineStr">
        <is>
          <t>Low (Zibi click)</t>
        </is>
      </c>
      <c r="H19" s="151" t="inlineStr">
        <is>
          <t>Governance</t>
        </is>
      </c>
      <c r="I19" s="151" t="inlineStr">
        <is>
          <t>BLOCKING — escalate to Zibi today</t>
        </is>
      </c>
    </row>
    <row r="20" ht="109.5" customHeight="1" s="134">
      <c r="A20" s="169" t="n">
        <v>19</v>
      </c>
      <c r="B20" s="149" t="inlineStr">
        <is>
          <t>All</t>
        </is>
      </c>
      <c r="C20" s="151" t="inlineStr">
        <is>
          <t>Pending contractor invite to fabrice@thelead.fr still active; was operator of auto-import pipeline from his Google Ads (9083241950)</t>
        </is>
      </c>
      <c r="D20" s="172" t="inlineStr">
        <is>
          <t>HIGH</t>
        </is>
      </c>
      <c r="E20" s="151" t="inlineStr">
        <is>
          <t>User management shows fabrice@thelead.fr "Pending" invite (never accepted but still resendable). Auto-import history shows the 42 FR Bing campaigns were created via auto-import from Google Ads account 9083241950 starting 21 Nov 2025 — Fabrice operates that GA account.</t>
        </is>
      </c>
      <c r="F20" s="151" t="inlineStr">
        <is>
          <t>Revoke pending invite. Disable any auto-import jobs from Fabrice GA account (Gap 10 details). Confirm with Zibi whether Fabrice handoff status changes this — likely needs new fresh invite under work email if he continues.</t>
        </is>
      </c>
      <c r="G20" s="149" t="inlineStr">
        <is>
          <t>Low</t>
        </is>
      </c>
      <c r="H20" s="151" t="inlineStr">
        <is>
          <t>Governance</t>
        </is>
      </c>
      <c r="I20" s="151" t="inlineStr">
        <is>
          <t>Same revocation pass as Lukas</t>
        </is>
      </c>
    </row>
    <row r="21" ht="109.5" customHeight="1" s="134">
      <c r="A21" s="169" t="n">
        <v>20</v>
      </c>
      <c r="B21" s="149" t="inlineStr">
        <is>
          <t>FR</t>
        </is>
      </c>
      <c r="C21" s="151" t="inlineStr">
        <is>
          <t>ORPHANED 250-KW Easilys negative list — biggest list in FR account attached to ZERO campaigns</t>
        </is>
      </c>
      <c r="D21" s="172" t="inlineStr">
        <is>
          <t>HIGH</t>
        </is>
      </c>
      <c r="E21" s="151" t="inlineStr">
        <is>
          <t>FR shared neg KW lists: "Easilys Negatives FR" 250 keywords, 0 campaigns sharing. "Negative List - UK - LMS" 34 keywords, 0 campaigns sharing (also orphan, UK list sitting in FR account). Only attached list is "Other brands" 75 KWs / 33 campaigns. The dedicated Easilys-FR list (most product-relevant for the flagship FR Easilys play) is built but unconnected.</t>
        </is>
      </c>
      <c r="F21" s="151" t="inlineStr">
        <is>
          <t>Attach "Easilys Negatives FR" list to all 16+ active FR Easilys campaigns. Archive UK-LMS list from FR account (or move to EN if relevant there). Net effect: immediate spend efficiency on FR Easilys campaigns.</t>
        </is>
      </c>
      <c r="G21" s="149" t="inlineStr">
        <is>
          <t>Low</t>
        </is>
      </c>
      <c r="H21" s="151" t="inlineStr">
        <is>
          <t>FR Easilys</t>
        </is>
      </c>
      <c r="I21" s="151" t="inlineStr">
        <is>
          <t>Ready to ship</t>
        </is>
      </c>
    </row>
    <row r="22" ht="109.5" customHeight="1" s="134">
      <c r="A22" s="169" t="n">
        <v>21</v>
      </c>
      <c r="B22" s="149" t="inlineStr">
        <is>
          <t>UK</t>
        </is>
      </c>
      <c r="C22" s="151" t="inlineStr">
        <is>
          <t>EN-BING ADS has ZERO negative keyword lists. Extends pattern: UK Google ALSO had zero neg KW lists.</t>
        </is>
      </c>
      <c r="D22" s="172" t="inlineStr">
        <is>
          <t>HIGH</t>
        </is>
      </c>
      <c r="E22" s="151" t="inlineStr">
        <is>
          <t>EN shared neg KW lists library: empty. No campaign-level neg KWs structurally captured either (all campaigns paused so lower urgency). Same governance gap as Google UK confirmed across both search engines.</t>
        </is>
      </c>
      <c r="F22" s="151" t="inlineStr">
        <is>
          <t>When UK Bing reactivates (alongside Google brand defence unpause): build shared neg KW library. Mirror approach to Google UK.</t>
        </is>
      </c>
      <c r="G22" s="149" t="inlineStr">
        <is>
          <t>Medium</t>
        </is>
      </c>
      <c r="H22" s="151" t="inlineStr">
        <is>
          <t>UK Flow</t>
        </is>
      </c>
      <c r="I22" s="151" t="inlineStr">
        <is>
          <t>Tied to UK reactivation</t>
        </is>
      </c>
    </row>
    <row r="23" ht="109.5" customHeight="1" s="134">
      <c r="A23" s="169" t="n">
        <v>22</v>
      </c>
      <c r="B23" s="149" t="inlineStr">
        <is>
          <t>FR</t>
        </is>
      </c>
      <c r="C23" s="151" t="inlineStr">
        <is>
          <t>CORE Mapal-FR, CORE Easilys-FR, CORE Workforce-FR, CORE Compliance-FR all on Auto:Max Clicks bidding. Same volume-optimised waste pattern as ES Workforce-Google.</t>
        </is>
      </c>
      <c r="D23" s="172" t="inlineStr">
        <is>
          <t>HIGH</t>
        </is>
      </c>
      <c r="E23" s="151" t="inlineStr">
        <is>
          <t>Top 4 (CORE) campaigns FR Bing all use Auto: Max Clicks. (CORE) Workforce-FR is worst: 903 clicks / €371 / 0 conv / "Campaign out of budget" / 55.2% opt score. Same volume-not-value bidding mechanic that drove ES Workforce Google waste.</t>
        </is>
      </c>
      <c r="F23" s="151" t="inlineStr">
        <is>
          <t>Switch CORE campaigns to Max Conversions or tCPA once Lead MQL/SQL tracking restored. Until then, manual CPC ceilings to cap waste. Workforce-FR campaigns get killed entirely (per readiness map).</t>
        </is>
      </c>
      <c r="G23" s="149" t="inlineStr">
        <is>
          <t>Medium</t>
        </is>
      </c>
      <c r="H23" s="151" t="inlineStr">
        <is>
          <t>FR Easilys</t>
        </is>
      </c>
      <c r="I23" s="151" t="inlineStr">
        <is>
          <t>Blocked on tracking fix</t>
        </is>
      </c>
    </row>
    <row r="24" ht="109.5" customHeight="1" s="134">
      <c r="A24" s="169" t="n">
        <v>23</v>
      </c>
      <c r="B24" s="149" t="inlineStr">
        <is>
          <t>All</t>
        </is>
      </c>
      <c r="C24" s="151" t="inlineStr">
        <is>
          <t>Conversion goal Lead-SQL last-fire diagnostic: UI says no Lead SQL or MQL events in 7+ days. UET tag is healthy (390 negative-signal fires/90d FR, 32 EN).</t>
        </is>
      </c>
      <c r="D24" s="170" t="inlineStr">
        <is>
          <t>CRITICAL</t>
        </is>
      </c>
      <c r="E24" s="151" t="inlineStr">
        <is>
          <t>Microsoft UI text on Lead SQL: "We have seen your UET tag, but have not recorded any conversions in the last 7 days. This is most likely because you have created the goal incorrectly, have not tagged your entire website, especially the pages that have the conversion action OR you do not have any users converting on your site." Same diagnostic shape as Google Ads + LinkedIn. Tag deployment fine. Event-level break. Lead SQL revenue value also set in USD on EUR account (minor mis-config).</t>
        </is>
      </c>
      <c r="F24" s="151" t="inlineStr">
        <is>
          <t>Cross-channel root-cause investigation: most likely the lead-thank-you page URL or event-trigger condition changed at HubSpot/website layer. Andy / RevOps. Test fire each event manually before re-enabling Max Conversions bidding. Fix Lead SQL USD-on-EUR currency setting.</t>
        </is>
      </c>
      <c r="G24" s="149" t="inlineStr">
        <is>
          <t>High</t>
        </is>
      </c>
      <c r="H24" s="151" t="inlineStr">
        <is>
          <t>Cross-channel</t>
        </is>
      </c>
      <c r="I24" s="151" t="inlineStr">
        <is>
          <t>Blocked on Andy</t>
        </is>
      </c>
    </row>
    <row r="25" ht="109.5" customHeight="1" s="134">
      <c r="A25" s="169" t="n">
        <v>24</v>
      </c>
      <c r="B25" s="149" t="inlineStr">
        <is>
          <t>FR</t>
        </is>
      </c>
      <c r="C25" s="151" t="inlineStr">
        <is>
          <t>Cross-market audience pollution: "ES - Request a Demo - Google Ads (540)" audience exists ON FR-BING ADS account</t>
        </is>
      </c>
      <c r="D25" s="242" t="inlineStr">
        <is>
          <t>MEDIUM</t>
        </is>
      </c>
      <c r="E25" s="151" t="inlineStr">
        <is>
          <t>FR audience library shows audience #823046754: "ES - Request a Demo - Google Ads (540)" — provisioned on FR-BING ADS. Audience too small (10 search size / 44 audience size), no associations. Either built wrong account or synced from ES Google by mistake. Same LinkedIn cross-market audience pollution pattern.</t>
        </is>
      </c>
      <c r="F25" s="151" t="inlineStr">
        <is>
          <t>Remove audience from FR account. Investigate the sync source (likely Fabrice auto-import — see Gap 10) to confirm not actively recreating.</t>
        </is>
      </c>
      <c r="G25" s="149" t="inlineStr">
        <is>
          <t>Low</t>
        </is>
      </c>
      <c r="H25" s="151" t="inlineStr">
        <is>
          <t>Hygiene</t>
        </is>
      </c>
      <c r="I25" s="151" t="inlineStr">
        <is>
          <t>Cleanup pass</t>
        </is>
      </c>
    </row>
    <row r="26" ht="109.5" customHeight="1" s="134">
      <c r="A26" s="169" t="n">
        <v>25</v>
      </c>
      <c r="B26" s="149" t="inlineStr">
        <is>
          <t>All</t>
        </is>
      </c>
      <c r="C26" s="151" t="inlineStr">
        <is>
          <t>True YoY analysis: Microsoft Ads at Mapal is essentially a brand-new channel (zero spend 2025-Q2). Auto-import pipeline from Fabrice GA built FR account from Nov 2025.</t>
        </is>
      </c>
      <c r="D26" s="241" t="inlineStr">
        <is>
          <t>INSIGHT</t>
        </is>
      </c>
      <c r="E26" s="151" t="inlineStr">
        <is>
          <t>Reports tab 26/02/2025 – 25/05/2025 both accounts: "We ran this report, but we did not find any data to show that matches your criteria." All-time FR Bing lifetime spend €6,518.53. 45% of FR all-time spend in last 90 days. EN account paused. Microsoft Ads is greenfield — no historical baseline to defend.</t>
        </is>
      </c>
      <c r="F26" s="151" t="inlineStr">
        <is>
          <t>Strategic framing for Friday: this is not "fix Microsoft Ads" — this is "decide what Microsoft Ads should be" given it is a new channel. Recommend pausing the auto-import pipeline and building purposeful campaigns aligned to readiness map.</t>
        </is>
      </c>
      <c r="G26" s="149" t="inlineStr">
        <is>
          <t>None</t>
        </is>
      </c>
      <c r="H26" s="151" t="inlineStr">
        <is>
          <t>Strategy</t>
        </is>
      </c>
      <c r="I26" s="151" t="inlineStr">
        <is>
          <t>Friday talking point</t>
        </is>
      </c>
    </row>
    <row r="27" ht="109.5" customHeight="1" s="134">
      <c r="A27" s="169" t="n">
        <v>26</v>
      </c>
      <c r="B27" s="149" t="inlineStr">
        <is>
          <t>FR</t>
        </is>
      </c>
      <c r="C27" s="151" t="inlineStr">
        <is>
          <t>(CORE) Workforce-FR Search has 0 conversions over 4 distinct campaigns / 1,763 clicks / €785. €785 CPA = essentially infinite.</t>
        </is>
      </c>
      <c r="D27" s="172" t="inlineStr">
        <is>
          <t>HIGH</t>
        </is>
      </c>
      <c r="E27" s="151" t="inlineStr">
        <is>
          <t>CORE Workforce 903 clicks/€371/0 conv + Scale-keywords 136/€70/0 + Scale-CPC 130/€76/0 + Scale-CPC-Exact 594/€268/1 conv. Combined: 1,763 clicks / €785 / 1 conv. Cost per attributed conversion €785 (and that single conversion is likely the broken-attribution-window historical noise).</t>
        </is>
      </c>
      <c r="F27" s="151" t="inlineStr">
        <is>
          <t>Pause all 4 FR Workforce campaigns immediately. Reallocate €785/90d (€3,185 annualised) to (CORE) Easilys-FR which is converting at €143 per conv. Already in Budget Impact tab.</t>
        </is>
      </c>
      <c r="G27" s="149" t="inlineStr">
        <is>
          <t>Low</t>
        </is>
      </c>
      <c r="H27" s="151" t="inlineStr">
        <is>
          <t>FR Easilys</t>
        </is>
      </c>
      <c r="I27" s="151" t="inlineStr">
        <is>
          <t>Ready to ship</t>
        </is>
      </c>
    </row>
    <row r="28" ht="109.5" customHeight="1" s="134">
      <c r="A28" s="169" t="n">
        <v>27</v>
      </c>
      <c r="B28" s="149" t="inlineStr">
        <is>
          <t>UK</t>
        </is>
      </c>
      <c r="C28" s="151" t="inlineStr">
        <is>
          <t>EN PMax campaigns have €6 Target CPA on hospitality SaaS — unrealistically tight. Likely reason campaigns never spent before pause.</t>
        </is>
      </c>
      <c r="D28" s="242" t="inlineStr">
        <is>
          <t>MEDIUM</t>
        </is>
      </c>
      <c r="E28" s="151" t="inlineStr">
        <is>
          <t>(CORE) Mapal-EN and (CORE) Flow-EN: Auto Max Conversions Target CPA €6. PMax Flow-UK / Flow-Ireland / Compliance-UK: Target CPA €140. Hospitality SaaS CPA reality is €100-€400+. €6 tCPA means LinkedIn refuses to spend.</t>
        </is>
      </c>
      <c r="F28" s="151" t="inlineStr">
        <is>
          <t>When EN campaigns reactivate alongside brand defence unpause: revise Target CPA to realistic range (€140-200 for non-brand search, €15-30 for brand). Use Google Ads UK historical CPA as baseline.</t>
        </is>
      </c>
      <c r="G28" s="149" t="inlineStr">
        <is>
          <t>Low</t>
        </is>
      </c>
      <c r="H28" s="151" t="inlineStr">
        <is>
          <t>UK Flow</t>
        </is>
      </c>
      <c r="I28" s="151" t="inlineStr">
        <is>
          <t>Pending UK reactivation</t>
        </is>
      </c>
    </row>
    <row r="29" ht="109.5" customHeight="1" s="134">
      <c r="A29" s="169" t="n">
        <v>28</v>
      </c>
      <c r="B29" s="149" t="inlineStr">
        <is>
          <t>FR</t>
        </is>
      </c>
      <c r="C29" s="151" t="inlineStr">
        <is>
          <t>FR audience library has 8 audiences total + 549 audience associations. Includes auto-built "Similar to..." predictive audiences across all 3.</t>
        </is>
      </c>
      <c r="D29" s="241" t="inlineStr">
        <is>
          <t>INSIGHT</t>
        </is>
      </c>
      <c r="E29" s="151" t="inlineStr">
        <is>
          <t>8 underlying audiences. Audience #823046571 "Negative Signals" 14,880 search size / 14,276 audience / 5 associations. 3 "Similar to..." Microsoft-predictive audiences (Building status). FR cleaner than ES LinkedIn legacy clutter but ES-Google-Ads cross-contamination present.</t>
        </is>
      </c>
      <c r="F29" s="151" t="inlineStr">
        <is>
          <t>Cleanup pass: remove ES cross-contamination, keep "Similar to All visitors" + "Similar to Negative Signals" once built. Validate sizes before relying for big spend.</t>
        </is>
      </c>
      <c r="G29" s="149" t="inlineStr">
        <is>
          <t>Low</t>
        </is>
      </c>
      <c r="H29" s="151" t="inlineStr">
        <is>
          <t>FR hygiene</t>
        </is>
      </c>
      <c r="I29" s="151" t="inlineStr">
        <is>
          <t>Cleanup pass</t>
        </is>
      </c>
    </row>
    <row r="30" ht="15.75" customHeight="1" s="134"/>
    <row r="31" ht="15.75" customHeight="1" s="134"/>
    <row r="32" ht="15.75" customHeight="1" s="134"/>
    <row r="33" ht="15.75" customHeight="1" s="134"/>
    <row r="34" ht="15.75" customHeight="1" s="134"/>
    <row r="35" ht="15.75" customHeight="1" s="134"/>
    <row r="36" ht="15.75" customHeight="1" s="134"/>
    <row r="37" ht="15.75" customHeight="1" s="134"/>
    <row r="38" ht="15.75" customHeight="1" s="134"/>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H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4.43359375" defaultRowHeight="15" zeroHeight="0" outlineLevelRow="0"/>
  <cols>
    <col width="4" customWidth="1" style="133" min="1" max="1"/>
    <col width="30" customWidth="1" style="133" min="2" max="2"/>
    <col width="20" customWidth="1" style="133" min="3" max="3"/>
    <col width="11" customWidth="1" style="133" min="4" max="4"/>
    <col width="55" customWidth="1" style="133" min="5" max="5"/>
    <col width="50" customWidth="1" style="133" min="6" max="6"/>
    <col width="18" customWidth="1" style="133" min="7" max="7"/>
    <col width="14" customWidth="1" style="133" min="8" max="8"/>
    <col width="8.710000000000001" customWidth="1" style="133" min="9" max="26"/>
  </cols>
  <sheetData>
    <row r="1" ht="15" customHeight="1" s="134">
      <c r="A1" s="148" t="inlineStr">
        <is>
          <t>#</t>
        </is>
      </c>
      <c r="B1" s="148" t="inlineStr">
        <is>
          <t>Item</t>
        </is>
      </c>
      <c r="C1" s="148" t="inlineStr">
        <is>
          <t>Status</t>
        </is>
      </c>
      <c r="D1" s="148" t="inlineStr">
        <is>
          <t>Severity</t>
        </is>
      </c>
      <c r="E1" s="148" t="inlineStr">
        <is>
          <t>Evidence</t>
        </is>
      </c>
      <c r="F1" s="148" t="inlineStr">
        <is>
          <t>Recommendation</t>
        </is>
      </c>
      <c r="G1" s="148" t="inlineStr">
        <is>
          <t>Owner</t>
        </is>
      </c>
      <c r="H1" s="148" t="inlineStr">
        <is>
          <t>Status</t>
        </is>
      </c>
    </row>
    <row r="2" ht="75" customHeight="1" s="134">
      <c r="A2" s="169" t="n">
        <v>1</v>
      </c>
      <c r="B2" s="151" t="inlineStr">
        <is>
          <t>Conversion signal / site dataLayer (Google, all 3 accounts)</t>
        </is>
      </c>
      <c r="C2" s="246" t="inlineStr">
        <is>
          <t>BROKEN</t>
        </is>
      </c>
      <c r="D2" s="170" t="inlineStr">
        <is>
          <t>CRITICAL</t>
        </is>
      </c>
      <c r="E2" s="151" t="inlineStr">
        <is>
          <t>Website migration changed the dataLayer contract: form conversions moved onto a HubSpot form event, then the form-id keys were renamed, so triggers stopped matching. Google Ads conversions are live but untriggered. Critical path.</t>
        </is>
      </c>
      <c r="F2" s="151" t="inlineStr">
        <is>
          <t>Verify the migrated site pushes the form event with the current keys (a live dataLayer test), then realign triggers in the tag container. Ours and the website lead, not RevOps.</t>
        </is>
      </c>
      <c r="G2" s="149" t="inlineStr">
        <is>
          <t>Adrian + Website/Migration</t>
        </is>
      </c>
      <c r="H2" s="149" t="inlineStr">
        <is>
          <t>In progress</t>
        </is>
      </c>
    </row>
    <row r="3" ht="75" customHeight="1" s="134">
      <c r="A3" s="169" t="n">
        <v>2</v>
      </c>
      <c r="B3" s="151" t="inlineStr">
        <is>
          <t>FR Lead MQL conversion event</t>
        </is>
      </c>
      <c r="C3" s="246" t="inlineStr">
        <is>
          <t>INACTIVE</t>
        </is>
      </c>
      <c r="D3" s="170" t="inlineStr">
        <is>
          <t>CRITICAL</t>
        </is>
      </c>
      <c r="E3" s="151" t="inlineStr">
        <is>
          <t>Modified 11/14/2025. Last fired ~4 weeks ago per dashboard. Attached as goal on FR ABM Play-1 + FR Fab Lead Form.</t>
        </is>
      </c>
      <c r="F3" s="151" t="inlineStr">
        <is>
          <t>Likely the same dataLayer break. Reactivate the FR event in-platform and re-verify after the dataLayer fix.</t>
        </is>
      </c>
      <c r="G3" s="149" t="inlineStr">
        <is>
          <t>Adrian</t>
        </is>
      </c>
      <c r="H3" s="149" t="inlineStr">
        <is>
          <t>Open</t>
        </is>
      </c>
    </row>
    <row r="4" ht="75" customHeight="1" s="134">
      <c r="A4" s="169" t="n">
        <v>3</v>
      </c>
      <c r="B4" s="151" t="inlineStr">
        <is>
          <t>LinkedIn Insight Tags (all 3 accounts)</t>
        </is>
      </c>
      <c r="C4" s="246" t="inlineStr">
        <is>
          <t>ACTIVE &amp; FIRING</t>
        </is>
      </c>
      <c r="D4" s="241" t="inlineStr">
        <is>
          <t>INSIGHT</t>
        </is>
      </c>
      <c r="E4" s="151" t="inlineStr">
        <is>
          <t>Confirmed firing on EN, ES, FR. Bing UET also installed on EN.</t>
        </is>
      </c>
      <c r="F4" s="151" t="inlineStr">
        <is>
          <t>Contrast point for Friday: LinkedIn pixel infrastructure healthier than Google side.</t>
        </is>
      </c>
      <c r="G4" s="149" t="inlineStr">
        <is>
          <t>Adrian</t>
        </is>
      </c>
      <c r="H4" s="149" t="inlineStr">
        <is>
          <t>OK</t>
        </is>
      </c>
    </row>
    <row r="5" ht="75" customHeight="1" s="134">
      <c r="A5" s="169" t="n">
        <v>4</v>
      </c>
      <c r="B5" s="151" t="inlineStr">
        <is>
          <t>Conversion goal lists across LinkedIn ABM ad sets</t>
        </is>
      </c>
      <c r="C5" s="246" t="inlineStr">
        <is>
          <t>POLLUTED</t>
        </is>
      </c>
      <c r="D5" s="172" t="inlineStr">
        <is>
          <t>HIGH</t>
        </is>
      </c>
      <c r="E5" s="151" t="inlineStr">
        <is>
          <t>AT ACCOUNT LEVEL: UK ABM conversion pool has 3 of 7 Inactive/Unverified (PDF Download Unverified, Flow Thank-you page Inactive, Flow Contact Us Inactive). ES ABM 1 of 3 Inactive (LANDING EBOOK 6/19/2020). FR ABM 1 Inactive (Lead MQL) + 1 "do not use" Active. ATTACHED at ad-set level (per S4): each ABM ad set has only 1 conversion attached, all Active. The Inactive/do-not-use conversions are NOT attached to ad sets — they pollute the available pool only.</t>
        </is>
      </c>
      <c r="F5" s="151" t="inlineStr">
        <is>
          <t>Hygiene pass. Verify each event fires before re-attaching to any campaign.</t>
        </is>
      </c>
      <c r="G5" s="149" t="inlineStr">
        <is>
          <t>Adrian</t>
        </is>
      </c>
      <c r="H5" s="149" t="inlineStr">
        <is>
          <t>Cleanup pass</t>
        </is>
      </c>
    </row>
    <row r="6" ht="75" customHeight="1" s="134">
      <c r="A6" s="169" t="n">
        <v>5</v>
      </c>
      <c r="B6" s="151" t="inlineStr">
        <is>
          <t>UTM tagging convention (cross-channel)</t>
        </is>
      </c>
      <c r="C6" s="246" t="inlineStr">
        <is>
          <t>INCONSISTENT</t>
        </is>
      </c>
      <c r="D6" s="172" t="inlineStr">
        <is>
          <t>HIGH</t>
        </is>
      </c>
      <c r="E6" s="151" t="inlineStr">
        <is>
          <t>LinkedIn ad-set level: account_id={{ACCOUNT_ID}}&amp;utm_source=LinkedIn. No utm_medium/campaign/content. No account-level params. Google Ads convention separate.</t>
        </is>
      </c>
      <c r="F6" s="151" t="inlineStr">
        <is>
          <t>Build global UTM standard (task GID 1214912529250966). Zibi offered help. Due Fri 29 May.</t>
        </is>
      </c>
      <c r="G6" s="149" t="inlineStr">
        <is>
          <t>Adrian + Zibi</t>
        </is>
      </c>
      <c r="H6" s="149" t="inlineStr">
        <is>
          <t>In progress</t>
        </is>
      </c>
    </row>
    <row r="7" ht="75" customHeight="1" s="134">
      <c r="A7" s="169" t="n">
        <v>6</v>
      </c>
      <c r="B7" s="151" t="inlineStr">
        <is>
          <t>FR TOP 100 Accounts v2 matched audience</t>
        </is>
      </c>
      <c r="C7" s="246" t="inlineStr">
        <is>
          <t>UNUSED</t>
        </is>
      </c>
      <c r="D7" s="241" t="inlineStr">
        <is>
          <t>INSIGHT</t>
        </is>
      </c>
      <c r="E7" s="151" t="inlineStr">
        <is>
          <t>1.28M members, Ready, &gt;90% match, modified 3/16/2026. FR ABM uses free-text wrong-vertical list instead.</t>
        </is>
      </c>
      <c r="F7" s="151" t="inlineStr">
        <is>
          <t>Preserve audience even though ABM killed. Useful for future retargeting or Lead Gen Form pivot.</t>
        </is>
      </c>
      <c r="G7" s="149" t="inlineStr">
        <is>
          <t>Adrian</t>
        </is>
      </c>
      <c r="H7" s="149" t="inlineStr">
        <is>
          <t>Preserve</t>
        </is>
      </c>
    </row>
    <row r="8" ht="75" customHeight="1" s="134">
      <c r="A8" s="169" t="n">
        <v>7</v>
      </c>
      <c r="B8" s="151" t="inlineStr">
        <is>
          <t>HubSpot ↔ Ads integration (UTM passing, deal attribution)</t>
        </is>
      </c>
      <c r="C8" s="246" t="inlineStr">
        <is>
          <t>PARTIAL</t>
        </is>
      </c>
      <c r="D8" s="242" t="inlineStr">
        <is>
          <t>MEDIUM</t>
        </is>
      </c>
      <c r="E8" s="151" t="inlineStr">
        <is>
          <t>HubSpot training done. The genuine RevOps piece is UTMs onto deal records, campaign write-back, and the Dynamics source-overwrite.</t>
        </is>
      </c>
      <c r="F8" s="151" t="inlineStr">
        <is>
          <t>Confirm UTMs reach deal records and campaign writes back, and stop Dynamics overwriting source, so naming rolls up as designed.</t>
        </is>
      </c>
      <c r="G8" s="149" t="inlineStr">
        <is>
          <t>Adrian + RevOps</t>
        </is>
      </c>
      <c r="H8" s="149" t="inlineStr">
        <is>
          <t>RevOps</t>
        </is>
      </c>
    </row>
    <row r="9" ht="94.5" customHeight="1" s="134">
      <c r="A9" s="169" t="n">
        <v>8</v>
      </c>
      <c r="B9" s="151" t="inlineStr">
        <is>
          <t>Non-demo paid leads dead-end (no routing to SDR)</t>
        </is>
      </c>
      <c r="C9" s="246" t="inlineStr">
        <is>
          <t>ROUTING LIVE (residual)</t>
        </is>
      </c>
      <c r="D9" s="172" t="inlineStr">
        <is>
          <t>MEDIUM</t>
        </is>
      </c>
      <c r="E9" s="151" t="inlineStr">
        <is>
          <t>Central routing workflow is live: non-demo leads are created, qualified and routed to an owner; customers split to Customer Success; duplicates and clear non-fits filtered. Residual: only demo requests alert an SDR.</t>
        </is>
      </c>
      <c r="F9" s="151" t="inlineStr">
        <is>
          <t>Routing shipped. Add a working signal on non-demo leads (a queue view or daily digest) and a clean paid-source label on entry.</t>
        </is>
      </c>
      <c r="G9" s="149" t="inlineStr">
        <is>
          <t>RevOps (shipped) + SDR side</t>
        </is>
      </c>
      <c r="H9" s="149" t="inlineStr">
        <is>
          <t>Residual gap</t>
        </is>
      </c>
    </row>
    <row r="10" ht="41.75" customHeight="1" s="134">
      <c r="A10" s="169" t="n">
        <v>9</v>
      </c>
      <c r="B10" s="151" t="inlineStr">
        <is>
          <t>Product-usage data synced into the CRM</t>
        </is>
      </c>
      <c r="C10" s="246" t="inlineStr">
        <is>
          <t>PLANNED (Q3)</t>
        </is>
      </c>
      <c r="D10" s="172" t="inlineStr">
        <is>
          <t>MEDIUM</t>
        </is>
      </c>
      <c r="E10" s="151" t="inlineStr">
        <is>
          <t>Gates cross-sell and up-sell expansion (Section 10 of The Plan, Section 6 of the report). Adoption and seat/site ceiling triggers cannot fire without it. Does not gate the acquisition rebuild.</t>
        </is>
      </c>
      <c r="F10" s="151" t="inlineStr">
        <is>
          <t>Sync product-usage / adoption data into the CRM. Target Q3.</t>
        </is>
      </c>
      <c r="G10" s="149" t="inlineStr">
        <is>
          <t>RevOps</t>
        </is>
      </c>
      <c r="H10" s="149" t="inlineStr">
        <is>
          <t>Q3 plan</t>
        </is>
      </c>
    </row>
    <row r="11" ht="28.35" customHeight="1" s="134">
      <c r="A11" s="169" t="n">
        <v>10</v>
      </c>
      <c r="B11" s="151" t="inlineStr">
        <is>
          <t>Customer-health score exposed to marketing</t>
        </is>
      </c>
      <c r="C11" s="246" t="inlineStr">
        <is>
          <t>PLANNED (Q3)</t>
        </is>
      </c>
      <c r="D11" s="172" t="inlineStr">
        <is>
          <t>MEDIUM</t>
        </is>
      </c>
      <c r="E11" s="151" t="inlineStr">
        <is>
          <t>Gates the green-health entry gate and suppression for cross-sell and up-sell. Does not gate the acquisition rebuild.</t>
        </is>
      </c>
      <c r="F11" s="151" t="inlineStr">
        <is>
          <t>Expose the CS health score to marketing. Target Q3.</t>
        </is>
      </c>
      <c r="G11" s="149" t="inlineStr">
        <is>
          <t>Customer Success</t>
        </is>
      </c>
      <c r="H11" s="149" t="inlineStr">
        <is>
          <t>Q3 plan</t>
        </is>
      </c>
    </row>
    <row r="21" ht="15.75" customHeight="1" s="134"/>
    <row r="22" ht="15.75" customHeight="1" s="134"/>
    <row r="23" ht="15.75" customHeight="1" s="134"/>
    <row r="24" ht="15.75" customHeight="1" s="134"/>
    <row r="25" ht="15.75" customHeight="1" s="134"/>
    <row r="26" ht="15.75" customHeight="1" s="134"/>
    <row r="27" ht="15.75" customHeight="1" s="134"/>
    <row r="28" ht="15.75" customHeight="1" s="134"/>
    <row r="29" ht="15.75" customHeight="1" s="134"/>
    <row r="30" ht="15.75" customHeight="1" s="134"/>
    <row r="31" ht="15.75" customHeight="1" s="134"/>
    <row r="32" ht="15.75" customHeight="1" s="134"/>
    <row r="33" ht="15.75" customHeight="1" s="134"/>
    <row r="34" ht="15.75" customHeight="1" s="134"/>
    <row r="35" ht="15.75" customHeight="1" s="134"/>
    <row r="36" ht="15.75" customHeight="1" s="134"/>
    <row r="37" ht="15.75" customHeight="1" s="134"/>
    <row r="38" ht="15.75" customHeight="1" s="134"/>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G4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4.43359375" defaultRowHeight="15" zeroHeight="0" outlineLevelRow="0"/>
  <cols>
    <col width="4" customWidth="1" style="133" min="1" max="1"/>
    <col width="13" customWidth="1" style="133" min="2" max="2"/>
    <col width="65" customWidth="1" style="133" min="3" max="3"/>
    <col width="18" customWidth="1" style="133" min="4" max="4"/>
    <col width="11" customWidth="1" style="133" min="5" max="5"/>
    <col width="28" customWidth="1" style="133" min="6" max="6"/>
    <col width="22" customWidth="1" style="133" min="7" max="7"/>
    <col width="8.710000000000001" customWidth="1" style="133" min="8" max="26"/>
  </cols>
  <sheetData>
    <row r="1" ht="15" customHeight="1" s="134">
      <c r="A1" s="148" t="inlineStr">
        <is>
          <t>#</t>
        </is>
      </c>
      <c r="B1" s="148" t="inlineStr">
        <is>
          <t>Timing</t>
        </is>
      </c>
      <c r="C1" s="148" t="inlineStr">
        <is>
          <t>Action</t>
        </is>
      </c>
      <c r="D1" s="148" t="inlineStr">
        <is>
          <t>Owner</t>
        </is>
      </c>
      <c r="E1" s="148" t="inlineStr">
        <is>
          <t>Severity</t>
        </is>
      </c>
      <c r="F1" s="148" t="inlineStr">
        <is>
          <t>Dependency</t>
        </is>
      </c>
      <c r="G1" s="148" t="inlineStr">
        <is>
          <t>Status</t>
        </is>
      </c>
    </row>
    <row r="2" ht="34.5" customHeight="1" s="134">
      <c r="A2" s="169" t="n">
        <v>1</v>
      </c>
      <c r="B2" s="149" t="inlineStr">
        <is>
          <t>This week</t>
        </is>
      </c>
      <c r="C2" s="151" t="inlineStr">
        <is>
          <t>Friday: share key findings (in-progress audit) with Zibi</t>
        </is>
      </c>
      <c r="D2" s="149" t="inlineStr">
        <is>
          <t>Adrian</t>
        </is>
      </c>
      <c r="E2" s="170" t="inlineStr">
        <is>
          <t>CRITICAL</t>
        </is>
      </c>
      <c r="F2" s="151" t="inlineStr">
        <is>
          <t>Master sheet ready</t>
        </is>
      </c>
      <c r="G2" s="149" t="inlineStr">
        <is>
          <t>On track</t>
        </is>
      </c>
    </row>
    <row r="3" ht="34.5" customHeight="1" s="134">
      <c r="A3" s="169" t="n">
        <v>2</v>
      </c>
      <c r="B3" s="149" t="inlineStr">
        <is>
          <t>This week</t>
        </is>
      </c>
      <c r="C3" s="151" t="inlineStr">
        <is>
          <t>Draft global UTM convention across paid platforms (Zibi offered help)</t>
        </is>
      </c>
      <c r="D3" s="149" t="inlineStr">
        <is>
          <t>Adrian + Zibi</t>
        </is>
      </c>
      <c r="E3" s="172" t="inlineStr">
        <is>
          <t>HIGH</t>
        </is>
      </c>
      <c r="F3" s="151" t="inlineStr">
        <is>
          <t>None</t>
        </is>
      </c>
      <c r="G3" s="149" t="inlineStr">
        <is>
          <t>Open — due 29 May</t>
        </is>
      </c>
    </row>
    <row r="4" ht="34.5" customHeight="1" s="134">
      <c r="A4" s="169" t="n">
        <v>3</v>
      </c>
      <c r="B4" s="149" t="inlineStr">
        <is>
          <t>This week</t>
        </is>
      </c>
      <c r="C4" s="151" t="inlineStr">
        <is>
          <t>UK BRAND DEFENCE: unpause (CORE) Mapal EN as-is</t>
        </is>
      </c>
      <c r="D4" s="149" t="inlineStr">
        <is>
          <t>Adrian</t>
        </is>
      </c>
      <c r="E4" s="170" t="inlineStr">
        <is>
          <t>CRITICAL</t>
        </is>
      </c>
      <c r="F4" s="151" t="inlineStr">
        <is>
          <t>None</t>
        </is>
      </c>
      <c r="G4" s="149" t="inlineStr">
        <is>
          <t>Ready to ship</t>
        </is>
      </c>
    </row>
    <row r="5" ht="34.5" customHeight="1" s="134">
      <c r="A5" s="169" t="n">
        <v>4</v>
      </c>
      <c r="B5" s="149" t="inlineStr">
        <is>
          <t>This week</t>
        </is>
      </c>
      <c r="C5" s="151" t="inlineStr">
        <is>
          <t>Spain Workforce-ES Search mobile pause (€2,200/mo waste)</t>
        </is>
      </c>
      <c r="D5" s="149" t="inlineStr">
        <is>
          <t>Adrian</t>
        </is>
      </c>
      <c r="E5" s="170" t="inlineStr">
        <is>
          <t>CRITICAL</t>
        </is>
      </c>
      <c r="F5" s="151" t="inlineStr">
        <is>
          <t>None</t>
        </is>
      </c>
      <c r="G5" s="149" t="inlineStr">
        <is>
          <t>Ready to ship</t>
        </is>
      </c>
    </row>
    <row r="6" ht="34.5" customHeight="1" s="134">
      <c r="A6" s="169" t="n">
        <v>5</v>
      </c>
      <c r="B6" s="149" t="inlineStr">
        <is>
          <t>This week</t>
        </is>
      </c>
      <c r="C6" s="151" t="inlineStr">
        <is>
          <t>Add ad schedules to UK Mapal-Scale-keywords-New and Mapal-Hospitality-software-New</t>
        </is>
      </c>
      <c r="D6" s="149" t="inlineStr">
        <is>
          <t>Adrian</t>
        </is>
      </c>
      <c r="E6" s="242" t="inlineStr">
        <is>
          <t>MEDIUM</t>
        </is>
      </c>
      <c r="F6" s="151" t="inlineStr">
        <is>
          <t>None</t>
        </is>
      </c>
      <c r="G6" s="149" t="inlineStr">
        <is>
          <t>Ready</t>
        </is>
      </c>
    </row>
    <row r="7" ht="34.5" customHeight="1" s="134">
      <c r="A7" s="169" t="n">
        <v>6</v>
      </c>
      <c r="B7" s="149" t="inlineStr">
        <is>
          <t>This week</t>
        </is>
      </c>
      <c r="C7" s="151" t="inlineStr">
        <is>
          <t>Exclude "Employment Leisure &amp; Hospitality Jobs" in-market on ES + UK</t>
        </is>
      </c>
      <c r="D7" s="149" t="inlineStr">
        <is>
          <t>Adrian</t>
        </is>
      </c>
      <c r="E7" s="172" t="inlineStr">
        <is>
          <t>HIGH</t>
        </is>
      </c>
      <c r="F7" s="151" t="inlineStr">
        <is>
          <t>None</t>
        </is>
      </c>
      <c r="G7" s="149" t="inlineStr">
        <is>
          <t>Ready</t>
        </is>
      </c>
    </row>
    <row r="8" ht="34.5" customHeight="1" s="134">
      <c r="A8" s="169" t="n">
        <v>7</v>
      </c>
      <c r="B8" s="149" t="inlineStr">
        <is>
          <t>This week</t>
        </is>
      </c>
      <c r="C8" s="151" t="inlineStr">
        <is>
          <t>UK 45-54 age bid-down or exclusion</t>
        </is>
      </c>
      <c r="D8" s="149" t="inlineStr">
        <is>
          <t>Adrian</t>
        </is>
      </c>
      <c r="E8" s="242" t="inlineStr">
        <is>
          <t>MEDIUM</t>
        </is>
      </c>
      <c r="F8" s="151" t="inlineStr">
        <is>
          <t>None</t>
        </is>
      </c>
      <c r="G8" s="149" t="inlineStr">
        <is>
          <t>Ready</t>
        </is>
      </c>
    </row>
    <row r="9" ht="34.5" customHeight="1" s="134">
      <c r="A9" s="169" t="n">
        <v>8</v>
      </c>
      <c r="B9" s="149" t="inlineStr">
        <is>
          <t>This week</t>
        </is>
      </c>
      <c r="C9" s="151" t="inlineStr">
        <is>
          <t>Verify migrated-site dataLayer (form event + form-id keys) via a live test and realign the tag-container triggers; conversions are live but untriggered</t>
        </is>
      </c>
      <c r="D9" s="149" t="inlineStr">
        <is>
          <t>Adrian + Website/Migration</t>
        </is>
      </c>
      <c r="E9" s="170" t="inlineStr">
        <is>
          <t>CRITICAL</t>
        </is>
      </c>
      <c r="F9" s="151" t="inlineStr">
        <is>
          <t>None</t>
        </is>
      </c>
      <c r="G9" s="149" t="inlineStr">
        <is>
          <t>Critical path</t>
        </is>
      </c>
    </row>
    <row r="10" ht="34.5" customHeight="1" s="134">
      <c r="A10" s="169" t="n">
        <v>9</v>
      </c>
      <c r="B10" s="149" t="inlineStr">
        <is>
          <t>This week</t>
        </is>
      </c>
      <c r="C10" s="151" t="inlineStr">
        <is>
          <t>Confirm with Zibi: ES/MX Top 100 LinkedIn in scope of ABM kill?</t>
        </is>
      </c>
      <c r="D10" s="149" t="inlineStr">
        <is>
          <t>Adrian</t>
        </is>
      </c>
      <c r="E10" s="242" t="inlineStr">
        <is>
          <t>MEDIUM</t>
        </is>
      </c>
      <c r="F10" s="151" t="inlineStr">
        <is>
          <t>None</t>
        </is>
      </c>
      <c r="G10" s="149" t="inlineStr">
        <is>
          <t>1-line check</t>
        </is>
      </c>
    </row>
    <row r="11" ht="34.5" customHeight="1" s="134">
      <c r="A11" s="169" t="n">
        <v>10</v>
      </c>
      <c r="B11" s="149" t="inlineStr">
        <is>
          <t>This week</t>
        </is>
      </c>
      <c r="C11" s="151" t="inlineStr">
        <is>
          <t>Confirm with Zibi: FR ABM €828 reconciliation (Play-1 + Crossvertical-Mapal-Studio?)</t>
        </is>
      </c>
      <c r="D11" s="149" t="inlineStr">
        <is>
          <t>Adrian</t>
        </is>
      </c>
      <c r="E11" s="245" t="inlineStr">
        <is>
          <t>LOW</t>
        </is>
      </c>
      <c r="F11" s="151" t="inlineStr">
        <is>
          <t>None</t>
        </is>
      </c>
      <c r="G11" s="149" t="inlineStr">
        <is>
          <t>1-line check Friday</t>
        </is>
      </c>
    </row>
    <row r="12" ht="34.5" customHeight="1" s="134">
      <c r="A12" s="169" t="n">
        <v>11</v>
      </c>
      <c r="B12" s="149" t="inlineStr">
        <is>
          <t>Next week</t>
        </is>
      </c>
      <c r="C12" s="151" t="inlineStr">
        <is>
          <t>Move Workforce-ES off Maximize Clicks to tCPA</t>
        </is>
      </c>
      <c r="D12" s="149" t="inlineStr">
        <is>
          <t>Adrian</t>
        </is>
      </c>
      <c r="E12" s="172" t="inlineStr">
        <is>
          <t>HIGH</t>
        </is>
      </c>
      <c r="F12" s="151" t="inlineStr">
        <is>
          <t>conversion-signal fix</t>
        </is>
      </c>
      <c r="G12" s="149" t="inlineStr">
        <is>
          <t>Blocked</t>
        </is>
      </c>
    </row>
    <row r="13" ht="34.5" customHeight="1" s="134">
      <c r="A13" s="169" t="n">
        <v>12</v>
      </c>
      <c r="B13" s="149" t="inlineStr">
        <is>
          <t>Next week</t>
        </is>
      </c>
      <c r="C13" s="151" t="inlineStr">
        <is>
          <t>Re-evaluate 4 new 2026 Spain Display launches (€3,156 / 1 conv)</t>
        </is>
      </c>
      <c r="D13" s="149" t="inlineStr">
        <is>
          <t>Adrian</t>
        </is>
      </c>
      <c r="E13" s="242" t="inlineStr">
        <is>
          <t>MEDIUM</t>
        </is>
      </c>
      <c r="F13" s="151" t="inlineStr">
        <is>
          <t>None</t>
        </is>
      </c>
      <c r="G13" s="149" t="inlineStr">
        <is>
          <t>Pending</t>
        </is>
      </c>
    </row>
    <row r="14" ht="34.5" customHeight="1" s="134">
      <c r="A14" s="169" t="n">
        <v>13</v>
      </c>
      <c r="B14" s="149" t="inlineStr">
        <is>
          <t>Next week</t>
        </is>
      </c>
      <c r="C14" s="151" t="inlineStr">
        <is>
          <t>FR Workforce campaigns: deprioritize (product not ready per standup)</t>
        </is>
      </c>
      <c r="D14" s="149" t="inlineStr">
        <is>
          <t>Adrian</t>
        </is>
      </c>
      <c r="E14" s="172" t="inlineStr">
        <is>
          <t>HIGH</t>
        </is>
      </c>
      <c r="F14" s="151" t="inlineStr">
        <is>
          <t>None</t>
        </is>
      </c>
      <c r="G14" s="149" t="inlineStr">
        <is>
          <t>Pause-pending-audit</t>
        </is>
      </c>
    </row>
    <row r="15" ht="34.5" customHeight="1" s="134">
      <c r="A15" s="169" t="n">
        <v>14</v>
      </c>
      <c r="B15" s="149" t="inlineStr">
        <is>
          <t>Next week</t>
        </is>
      </c>
      <c r="C15" s="151" t="inlineStr">
        <is>
          <t>UK Workforce/Easilys/Inpulse spend: verify near zero (out of 2026 UK scope)</t>
        </is>
      </c>
      <c r="D15" s="149" t="inlineStr">
        <is>
          <t>Adrian</t>
        </is>
      </c>
      <c r="E15" s="242" t="inlineStr">
        <is>
          <t>MEDIUM</t>
        </is>
      </c>
      <c r="F15" s="151" t="inlineStr">
        <is>
          <t>None</t>
        </is>
      </c>
      <c r="G15" s="149" t="inlineStr">
        <is>
          <t>Verify</t>
        </is>
      </c>
    </row>
    <row r="16" ht="34.5" customHeight="1" s="134">
      <c r="A16" s="169" t="n">
        <v>15</v>
      </c>
      <c r="B16" s="149" t="inlineStr">
        <is>
          <t>Next week</t>
        </is>
      </c>
      <c r="C16" s="151" t="inlineStr">
        <is>
          <t>France public sector landing page gap (Easilys flagship play)</t>
        </is>
      </c>
      <c r="D16" s="149" t="inlineStr">
        <is>
          <t>Adrian + Design</t>
        </is>
      </c>
      <c r="E16" s="172" t="inlineStr">
        <is>
          <t>HIGH</t>
        </is>
      </c>
      <c r="F16" s="151" t="inlineStr">
        <is>
          <t>Easilys offer scope</t>
        </is>
      </c>
      <c r="G16" s="149" t="inlineStr">
        <is>
          <t>Open</t>
        </is>
      </c>
    </row>
    <row r="17" ht="34.5" customHeight="1" s="134">
      <c r="A17" s="169" t="n">
        <v>16</v>
      </c>
      <c r="B17" s="149" t="inlineStr">
        <is>
          <t>Next week</t>
        </is>
      </c>
      <c r="C17" s="151" t="inlineStr">
        <is>
          <t>LinkedIn ABM cleanup: kill FR Play-1, archive ES ABM, decide UK ABM fate</t>
        </is>
      </c>
      <c r="D17" s="149" t="inlineStr">
        <is>
          <t>Adrian</t>
        </is>
      </c>
      <c r="E17" s="172" t="inlineStr">
        <is>
          <t>HIGH</t>
        </is>
      </c>
      <c r="F17" s="151" t="inlineStr">
        <is>
          <t>Friday Zibi confirm</t>
        </is>
      </c>
      <c r="G17" s="149" t="inlineStr">
        <is>
          <t>Pending</t>
        </is>
      </c>
    </row>
    <row r="18" ht="34.5" customHeight="1" s="134">
      <c r="A18" s="169" t="n">
        <v>17</v>
      </c>
      <c r="B18" s="149" t="inlineStr">
        <is>
          <t>Next week</t>
        </is>
      </c>
      <c r="C18" s="151" t="inlineStr">
        <is>
          <t>LinkedIn conversion goal cleanup pass (all 3 accounts)</t>
        </is>
      </c>
      <c r="D18" s="149" t="inlineStr">
        <is>
          <t>Adrian</t>
        </is>
      </c>
      <c r="E18" s="172" t="inlineStr">
        <is>
          <t>HIGH</t>
        </is>
      </c>
      <c r="F18" s="151" t="inlineStr">
        <is>
          <t>None</t>
        </is>
      </c>
      <c r="G18" s="149" t="inlineStr">
        <is>
          <t>Hygiene</t>
        </is>
      </c>
    </row>
    <row r="19" ht="34.5" customHeight="1" s="134">
      <c r="A19" s="169" t="n">
        <v>18</v>
      </c>
      <c r="B19" s="149" t="inlineStr">
        <is>
          <t>Next week</t>
        </is>
      </c>
      <c r="C19" s="151" t="inlineStr">
        <is>
          <t>LinkedIn audience hygiene: archive 5y-no-signal audiences (ES), "Ignore - Not Use" (EN)</t>
        </is>
      </c>
      <c r="D19" s="149" t="inlineStr">
        <is>
          <t>Adrian</t>
        </is>
      </c>
      <c r="E19" s="245" t="inlineStr">
        <is>
          <t>LOW</t>
        </is>
      </c>
      <c r="F19" s="151" t="inlineStr">
        <is>
          <t>Verify no active dependencies</t>
        </is>
      </c>
      <c r="G19" s="149" t="inlineStr">
        <is>
          <t>Hygiene</t>
        </is>
      </c>
    </row>
    <row r="20" ht="34.5" customHeight="1" s="134">
      <c r="A20" s="169" t="n">
        <v>19</v>
      </c>
      <c r="B20" s="149" t="inlineStr">
        <is>
          <t>Mid-June+</t>
        </is>
      </c>
      <c r="C20" s="151" t="inlineStr">
        <is>
          <t>Replicate FR Fab Lead Form playbook to EN (UK Flow) and ES (Workforce)</t>
        </is>
      </c>
      <c r="D20" s="149" t="inlineStr">
        <is>
          <t>Adrian</t>
        </is>
      </c>
      <c r="E20" s="172" t="inlineStr">
        <is>
          <t>HIGH</t>
        </is>
      </c>
      <c r="F20" s="151" t="inlineStr">
        <is>
          <t>conversion-signal fix, offer scoped</t>
        </is>
      </c>
      <c r="G20" s="149" t="inlineStr">
        <is>
          <t>15 June activation</t>
        </is>
      </c>
    </row>
    <row r="21" ht="34.5" customHeight="1" s="134">
      <c r="A21" s="169" t="n">
        <v>20</v>
      </c>
      <c r="B21" s="149" t="inlineStr">
        <is>
          <t>Mid-June+</t>
        </is>
      </c>
      <c r="C21" s="151" t="inlineStr">
        <is>
          <t>Build broader LinkedIn Lead Gen Form strategy as ABM replacement</t>
        </is>
      </c>
      <c r="D21" s="149" t="inlineStr">
        <is>
          <t>Adrian</t>
        </is>
      </c>
      <c r="E21" s="172" t="inlineStr">
        <is>
          <t>HIGH</t>
        </is>
      </c>
      <c r="F21" s="151" t="inlineStr">
        <is>
          <t>Mid-June owner role</t>
        </is>
      </c>
      <c r="G21" s="149" t="inlineStr">
        <is>
          <t>15 June activation</t>
        </is>
      </c>
    </row>
    <row r="22" ht="34.5" customHeight="1" s="134">
      <c r="A22" s="169" t="n">
        <v>21</v>
      </c>
      <c r="B22" s="149" t="inlineStr">
        <is>
          <t>Mid-June+</t>
        </is>
      </c>
      <c r="C22" s="151" t="inlineStr">
        <is>
          <t>FR Lead MQL conversion event investigation + fix</t>
        </is>
      </c>
      <c r="D22" s="149" t="inlineStr">
        <is>
          <t>Adrian (in-platform)</t>
        </is>
      </c>
      <c r="E22" s="170" t="inlineStr">
        <is>
          <t>CRITICAL</t>
        </is>
      </c>
      <c r="F22" s="151" t="inlineStr">
        <is>
          <t>Conversion-signal fix</t>
        </is>
      </c>
      <c r="G22" s="149" t="inlineStr">
        <is>
          <t>Pending</t>
        </is>
      </c>
    </row>
    <row r="23" ht="34.5" customHeight="1" s="134">
      <c r="A23" s="169" t="n">
        <v>22</v>
      </c>
      <c r="B23" s="149" t="inlineStr">
        <is>
          <t>Mid-June+</t>
        </is>
      </c>
      <c r="C23" s="151" t="inlineStr">
        <is>
          <t>Refresh Easilys-HubSpot lookalikes from current CRM data</t>
        </is>
      </c>
      <c r="D23" s="149" t="inlineStr">
        <is>
          <t>Adrian + RevOps</t>
        </is>
      </c>
      <c r="E23" s="242" t="inlineStr">
        <is>
          <t>MEDIUM</t>
        </is>
      </c>
      <c r="F23" s="151" t="inlineStr">
        <is>
          <t>HubSpot trained</t>
        </is>
      </c>
      <c r="G23" s="149" t="inlineStr">
        <is>
          <t>Mid-June</t>
        </is>
      </c>
    </row>
    <row r="24" ht="34.5" customHeight="1" s="134">
      <c r="A24" s="169" t="n">
        <v>23</v>
      </c>
      <c r="B24" s="149" t="inlineStr">
        <is>
          <t>Mid-June+</t>
        </is>
      </c>
      <c r="C24" s="151" t="inlineStr">
        <is>
          <t>Build shared negative keyword library across all 3 Google Ads markets</t>
        </is>
      </c>
      <c r="D24" s="149" t="inlineStr">
        <is>
          <t>Adrian</t>
        </is>
      </c>
      <c r="E24" s="172" t="inlineStr">
        <is>
          <t>HIGH</t>
        </is>
      </c>
      <c r="F24" s="151" t="inlineStr">
        <is>
          <t>None</t>
        </is>
      </c>
      <c r="G24" s="149" t="inlineStr">
        <is>
          <t>Q3 plan</t>
        </is>
      </c>
    </row>
    <row r="25" ht="34.5" customHeight="1" s="134">
      <c r="A25" s="169" t="n">
        <v>24</v>
      </c>
      <c r="B25" s="149" t="inlineStr">
        <is>
          <t>15 June onward</t>
        </is>
      </c>
      <c r="C25" s="151" t="inlineStr">
        <is>
          <t>Nurture strategy formal kickoff (Adrian as Owner per Zibi)</t>
        </is>
      </c>
      <c r="D25" s="149" t="inlineStr">
        <is>
          <t>Adrian</t>
        </is>
      </c>
      <c r="E25" s="170" t="inlineStr">
        <is>
          <t>CRITICAL</t>
        </is>
      </c>
      <c r="F25" s="151" t="inlineStr">
        <is>
          <t>conversion-signal fix</t>
        </is>
      </c>
      <c r="G25" s="149" t="inlineStr">
        <is>
          <t>Owner activates</t>
        </is>
      </c>
    </row>
    <row r="26" ht="39.75" customHeight="1" s="134">
      <c r="A26" s="169" t="n">
        <v>25</v>
      </c>
      <c r="B26" s="149" t="inlineStr">
        <is>
          <t>This week</t>
        </is>
      </c>
      <c r="C26" s="151" t="inlineStr">
        <is>
          <t>Pause all FR Microsoft Ads Workforce campaigns (4 campaigns, ~€785/90d wasted spend)</t>
        </is>
      </c>
      <c r="D26" s="149" t="inlineStr">
        <is>
          <t>Adrian</t>
        </is>
      </c>
      <c r="E26" s="170" t="inlineStr">
        <is>
          <t>CRITICAL</t>
        </is>
      </c>
      <c r="F26" s="151" t="inlineStr">
        <is>
          <t>None</t>
        </is>
      </c>
      <c r="G26" s="149" t="inlineStr">
        <is>
          <t>Ready</t>
        </is>
      </c>
    </row>
    <row r="27" ht="39.75" customHeight="1" s="134">
      <c r="A27" s="169" t="n">
        <v>26</v>
      </c>
      <c r="B27" s="149" t="inlineStr">
        <is>
          <t>This week</t>
        </is>
      </c>
      <c r="C27" s="151" t="inlineStr">
        <is>
          <t>Pause FR Microsoft Audience Network campaigns (€900/90d, 1 conv)</t>
        </is>
      </c>
      <c r="D27" s="149" t="inlineStr">
        <is>
          <t>Adrian</t>
        </is>
      </c>
      <c r="E27" s="172" t="inlineStr">
        <is>
          <t>HIGH</t>
        </is>
      </c>
      <c r="F27" s="151" t="inlineStr">
        <is>
          <t>None</t>
        </is>
      </c>
      <c r="G27" s="149" t="inlineStr">
        <is>
          <t>Ready</t>
        </is>
      </c>
    </row>
    <row r="28" ht="39.75" customHeight="1" s="134">
      <c r="A28" s="169" t="n">
        <v>27</v>
      </c>
      <c r="B28" s="149" t="inlineStr">
        <is>
          <t>This week</t>
        </is>
      </c>
      <c r="C28" s="151" t="inlineStr">
        <is>
          <t>Fix EN-BING ADS time zone (Helsinki → Europe/London)</t>
        </is>
      </c>
      <c r="D28" s="149" t="inlineStr">
        <is>
          <t>Adrian</t>
        </is>
      </c>
      <c r="E28" s="172" t="inlineStr">
        <is>
          <t>HIGH</t>
        </is>
      </c>
      <c r="F28" s="151" t="inlineStr">
        <is>
          <t>May need Microsoft support</t>
        </is>
      </c>
      <c r="G28" s="149" t="inlineStr">
        <is>
          <t>Investigate</t>
        </is>
      </c>
    </row>
    <row r="29" ht="39.75" customHeight="1" s="134">
      <c r="A29" s="169" t="n">
        <v>28</v>
      </c>
      <c r="B29" s="149" t="inlineStr">
        <is>
          <t>Next week</t>
        </is>
      </c>
      <c r="C29" s="151" t="inlineStr">
        <is>
          <t>Add Workforce-mention terms as negatives on FR (CORE) Mapal-FR campaign</t>
        </is>
      </c>
      <c r="D29" s="149" t="inlineStr">
        <is>
          <t>Adrian</t>
        </is>
      </c>
      <c r="E29" s="172" t="inlineStr">
        <is>
          <t>HIGH</t>
        </is>
      </c>
      <c r="F29" s="151" t="inlineStr">
        <is>
          <t>None</t>
        </is>
      </c>
      <c r="G29" s="149" t="inlineStr">
        <is>
          <t>Ready</t>
        </is>
      </c>
    </row>
    <row r="30" ht="39.75" customHeight="1" s="134">
      <c r="A30" s="169" t="n">
        <v>29</v>
      </c>
      <c r="B30" s="149" t="inlineStr">
        <is>
          <t>Next week</t>
        </is>
      </c>
      <c r="C30" s="151" t="inlineStr">
        <is>
          <t>Archive duplicate "(GROW) Food Complience Software" on EN Bing</t>
        </is>
      </c>
      <c r="D30" s="149" t="inlineStr">
        <is>
          <t>Adrian</t>
        </is>
      </c>
      <c r="E30" s="245" t="inlineStr">
        <is>
          <t>LOW</t>
        </is>
      </c>
      <c r="F30" s="151" t="inlineStr">
        <is>
          <t>None</t>
        </is>
      </c>
      <c r="G30" s="149" t="inlineStr">
        <is>
          <t>Quick fix</t>
        </is>
      </c>
    </row>
    <row r="31" ht="39.75" customHeight="1" s="134">
      <c r="A31" s="169" t="n">
        <v>30</v>
      </c>
      <c r="B31" s="149" t="inlineStr">
        <is>
          <t>Next week</t>
        </is>
      </c>
      <c r="C31" s="151" t="inlineStr">
        <is>
          <t>Confirm with Zibi: when was EN-BING ADS paused, by whom, why?</t>
        </is>
      </c>
      <c r="D31" s="149" t="inlineStr">
        <is>
          <t>Adrian</t>
        </is>
      </c>
      <c r="E31" s="242" t="inlineStr">
        <is>
          <t>MEDIUM</t>
        </is>
      </c>
      <c r="F31" s="151" t="inlineStr">
        <is>
          <t>None</t>
        </is>
      </c>
      <c r="G31" s="149" t="inlineStr">
        <is>
          <t>1-line check</t>
        </is>
      </c>
    </row>
    <row r="32" ht="39.75" customHeight="1" s="134">
      <c r="A32" s="169" t="n">
        <v>31</v>
      </c>
      <c r="B32" s="149" t="inlineStr">
        <is>
          <t>Mid-June+</t>
        </is>
      </c>
      <c r="C32" s="151" t="inlineStr">
        <is>
          <t>Open ES Microsoft Ads account if budget reallocated from ES Workforce Google waste</t>
        </is>
      </c>
      <c r="D32" s="149" t="inlineStr">
        <is>
          <t>Adrian</t>
        </is>
      </c>
      <c r="E32" s="242" t="inlineStr">
        <is>
          <t>MEDIUM</t>
        </is>
      </c>
      <c r="F32" s="151" t="inlineStr">
        <is>
          <t>ES Workforce Google fix shipped</t>
        </is>
      </c>
      <c r="G32" s="149" t="inlineStr">
        <is>
          <t>Q3 consideration</t>
        </is>
      </c>
    </row>
    <row r="33" ht="39.75" customHeight="1" s="134">
      <c r="A33" s="169" t="n">
        <v>32</v>
      </c>
      <c r="B33" s="149" t="inlineStr">
        <is>
          <t>15 June onward</t>
        </is>
      </c>
      <c r="C33" s="151" t="inlineStr">
        <is>
          <t>Microsoft Ads gap-closure audit: close 10 gaps (admin list, neg KW, true YoY, FR audiences, conversion goal triggers, pagination, bid strategy, ad copy, demographics, shared library)</t>
        </is>
      </c>
      <c r="D33" s="149" t="inlineStr">
        <is>
          <t>Adrian</t>
        </is>
      </c>
      <c r="E33" s="172" t="inlineStr">
        <is>
          <t>HIGH</t>
        </is>
      </c>
      <c r="F33" s="151" t="inlineStr">
        <is>
          <t>Capacity</t>
        </is>
      </c>
      <c r="G33" s="149" t="inlineStr">
        <is>
          <t>Plan ready</t>
        </is>
      </c>
    </row>
    <row r="34" ht="49.5" customHeight="1" s="134">
      <c r="A34" s="169" t="n">
        <v>33</v>
      </c>
      <c r="B34" s="149" t="inlineStr">
        <is>
          <t>This week</t>
        </is>
      </c>
      <c r="C34" s="151" t="inlineStr">
        <is>
          <t>ESCALATE TO ZIBI: revoke Luksius11@gmail.com Super Admin on both Bing accounts. Revoke fabrice@thelead.fr pending invite. Flip "Require work account sign-in" ON.</t>
        </is>
      </c>
      <c r="D34" s="149" t="inlineStr">
        <is>
          <t>Adrian → Zibi</t>
        </is>
      </c>
      <c r="E34" s="170" t="inlineStr">
        <is>
          <t>CRITICAL</t>
        </is>
      </c>
      <c r="F34" s="151" t="inlineStr">
        <is>
          <t>Zibi action</t>
        </is>
      </c>
      <c r="G34" s="149" t="inlineStr">
        <is>
          <t>BLOCKING — message today</t>
        </is>
      </c>
    </row>
    <row r="35" ht="49.5" customHeight="1" s="134">
      <c r="A35" s="169" t="n">
        <v>34</v>
      </c>
      <c r="B35" s="149" t="inlineStr">
        <is>
          <t>This week</t>
        </is>
      </c>
      <c r="C35" s="151" t="inlineStr">
        <is>
          <t>Attach Easilys Negatives FR list (250 KWs) to all active FR Easilys campaigns</t>
        </is>
      </c>
      <c r="D35" s="149" t="inlineStr">
        <is>
          <t>Adrian</t>
        </is>
      </c>
      <c r="E35" s="172" t="inlineStr">
        <is>
          <t>HIGH</t>
        </is>
      </c>
      <c r="F35" s="151" t="inlineStr">
        <is>
          <t>None</t>
        </is>
      </c>
      <c r="G35" s="149" t="inlineStr">
        <is>
          <t>Ready to ship</t>
        </is>
      </c>
    </row>
    <row r="36" ht="49.5" customHeight="1" s="134">
      <c r="A36" s="169" t="n">
        <v>35</v>
      </c>
      <c r="B36" s="149" t="inlineStr">
        <is>
          <t>This week</t>
        </is>
      </c>
      <c r="C36" s="151" t="inlineStr">
        <is>
          <t>Archive UK-LMS neg KW list from FR Bing (orphan, wrong account)</t>
        </is>
      </c>
      <c r="D36" s="149" t="inlineStr">
        <is>
          <t>Adrian</t>
        </is>
      </c>
      <c r="E36" s="245" t="inlineStr">
        <is>
          <t>LOW</t>
        </is>
      </c>
      <c r="F36" s="151" t="inlineStr">
        <is>
          <t>None</t>
        </is>
      </c>
      <c r="G36" s="149" t="inlineStr">
        <is>
          <t>Quick fix</t>
        </is>
      </c>
    </row>
    <row r="37" ht="49.5" customHeight="1" s="134">
      <c r="A37" s="169" t="n">
        <v>36</v>
      </c>
      <c r="B37" s="149" t="inlineStr">
        <is>
          <t>Next week</t>
        </is>
      </c>
      <c r="C37" s="151" t="inlineStr">
        <is>
          <t>Disable Fabrice auto-import pipeline from GA 9083241950 → FR Bing</t>
        </is>
      </c>
      <c r="D37" s="149" t="inlineStr">
        <is>
          <t>Adrian</t>
        </is>
      </c>
      <c r="E37" s="172" t="inlineStr">
        <is>
          <t>HIGH</t>
        </is>
      </c>
      <c r="F37" s="151" t="inlineStr">
        <is>
          <t>None</t>
        </is>
      </c>
      <c r="G37" s="149" t="inlineStr">
        <is>
          <t>Hygiene</t>
        </is>
      </c>
    </row>
    <row r="38" ht="49.5" customHeight="1" s="134">
      <c r="A38" s="169" t="n">
        <v>37</v>
      </c>
      <c r="B38" s="149" t="inlineStr">
        <is>
          <t>Next week</t>
        </is>
      </c>
      <c r="C38" s="151" t="inlineStr">
        <is>
          <t>Remove ES Request-Demo audience from FR account (cross-market pollution)</t>
        </is>
      </c>
      <c r="D38" s="149" t="inlineStr">
        <is>
          <t>Adrian</t>
        </is>
      </c>
      <c r="E38" s="245" t="inlineStr">
        <is>
          <t>LOW</t>
        </is>
      </c>
      <c r="F38" s="151" t="inlineStr">
        <is>
          <t>None</t>
        </is>
      </c>
      <c r="G38" s="149" t="inlineStr">
        <is>
          <t>Quick fix</t>
        </is>
      </c>
    </row>
    <row r="39" ht="49.5" customHeight="1" s="134">
      <c r="A39" s="169" t="n">
        <v>38</v>
      </c>
      <c r="B39" s="149" t="inlineStr">
        <is>
          <t>Next week</t>
        </is>
      </c>
      <c r="C39" s="151" t="inlineStr">
        <is>
          <t>Fix Lead SQL revenue currency setting (USD → EUR on EUR account)</t>
        </is>
      </c>
      <c r="D39" s="149" t="inlineStr">
        <is>
          <t>Adrian</t>
        </is>
      </c>
      <c r="E39" s="245" t="inlineStr">
        <is>
          <t>LOW</t>
        </is>
      </c>
      <c r="F39" s="151" t="inlineStr">
        <is>
          <t>None</t>
        </is>
      </c>
      <c r="G39" s="149" t="inlineStr">
        <is>
          <t>Quick fix</t>
        </is>
      </c>
    </row>
    <row r="40" ht="15.75" customHeight="1" s="134">
      <c r="A40" s="169" t="n">
        <v>39</v>
      </c>
      <c r="B40" s="149" t="inlineStr">
        <is>
          <t>Q3</t>
        </is>
      </c>
      <c r="C40" s="151" t="inlineStr">
        <is>
          <t>Stand up customer-only audiences + Flow-to-Compliance and Workforce-to-Compliance cross-sell sequences (green-health gated)</t>
        </is>
      </c>
      <c r="D40" s="149" t="inlineStr">
        <is>
          <t>Adrian + CS</t>
        </is>
      </c>
      <c r="E40" s="245" t="inlineStr">
        <is>
          <t>MEDIUM</t>
        </is>
      </c>
      <c r="F40" s="151" t="inlineStr">
        <is>
          <t>Product-usage + CS health data</t>
        </is>
      </c>
      <c r="G40" s="149" t="inlineStr">
        <is>
          <t>Q3 plan</t>
        </is>
      </c>
    </row>
    <row r="41" ht="15.75" customHeight="1" s="134">
      <c r="A41" s="169" t="n">
        <v>40</v>
      </c>
      <c r="B41" s="149" t="inlineStr">
        <is>
          <t>Q3</t>
        </is>
      </c>
      <c r="C41" s="151" t="inlineStr">
        <is>
          <t>Build renewal 90/60/30 value-reinforcement sequence (surfaces expansion)</t>
        </is>
      </c>
      <c r="D41" s="149" t="inlineStr">
        <is>
          <t>Adrian + CS</t>
        </is>
      </c>
      <c r="E41" s="245" t="inlineStr">
        <is>
          <t>MEDIUM</t>
        </is>
      </c>
      <c r="F41" s="151" t="inlineStr">
        <is>
          <t>CRM renewal dates</t>
        </is>
      </c>
      <c r="G41" s="149" t="inlineStr">
        <is>
          <t>Q3 plan</t>
        </is>
      </c>
    </row>
    <row r="42" ht="15.75" customHeight="1" s="134">
      <c r="A42" s="169" t="n">
        <v>41</v>
      </c>
      <c r="B42" s="149" t="inlineStr">
        <is>
          <t>Q3</t>
        </is>
      </c>
      <c r="C42" s="151" t="inlineStr">
        <is>
          <t>Build customer Matched Audiences / Customer Match for cross-sell paid (suppress owned module + at-risk accounts)</t>
        </is>
      </c>
      <c r="D42" s="149" t="inlineStr">
        <is>
          <t>Adrian + RevOps</t>
        </is>
      </c>
      <c r="E42" s="245" t="inlineStr">
        <is>
          <t>MEDIUM</t>
        </is>
      </c>
      <c r="F42" s="151" t="inlineStr">
        <is>
          <t>Customer-segment sync</t>
        </is>
      </c>
      <c r="G42" s="149" t="inlineStr">
        <is>
          <t>Q3 plan</t>
        </is>
      </c>
    </row>
    <row r="43" ht="15.75" customHeight="1" s="134">
      <c r="A43" s="169" t="n">
        <v>42</v>
      </c>
      <c r="B43" s="149" t="inlineStr">
        <is>
          <t>Q4</t>
        </is>
      </c>
      <c r="C43" s="151" t="inlineStr">
        <is>
          <t>Full cross-sell map live + up-sell / estate-roll-out triggers + cross-market customer paid</t>
        </is>
      </c>
      <c r="D43" s="149" t="inlineStr">
        <is>
          <t>Adrian + CS</t>
        </is>
      </c>
      <c r="E43" s="245" t="inlineStr">
        <is>
          <t>MEDIUM</t>
        </is>
      </c>
      <c r="F43" s="151" t="inlineStr">
        <is>
          <t>Q3 quick wins live</t>
        </is>
      </c>
      <c r="G43" s="149" t="inlineStr">
        <is>
          <t>Q4 plan</t>
        </is>
      </c>
    </row>
    <row r="44" ht="15.75" customHeight="1" s="134">
      <c r="A44" s="169" t="n">
        <v>43</v>
      </c>
      <c r="B44" s="149" t="inlineStr">
        <is>
          <t>Q3</t>
        </is>
      </c>
      <c r="C44" s="151" t="inlineStr">
        <is>
          <t>Sync product-usage data into the CRM (gates cross-sell, not the acquisition rebuild)</t>
        </is>
      </c>
      <c r="D44" s="149" t="inlineStr">
        <is>
          <t>RevOps</t>
        </is>
      </c>
      <c r="E44" s="245" t="inlineStr">
        <is>
          <t>MEDIUM</t>
        </is>
      </c>
      <c r="F44" s="151" t="inlineStr">
        <is>
          <t>None</t>
        </is>
      </c>
      <c r="G44" s="149" t="inlineStr">
        <is>
          <t>Q3 plan</t>
        </is>
      </c>
    </row>
    <row r="45" ht="15.75" customHeight="1" s="134">
      <c r="A45" s="169" t="n">
        <v>44</v>
      </c>
      <c r="B45" s="149" t="inlineStr">
        <is>
          <t>Q3</t>
        </is>
      </c>
      <c r="C45" s="151" t="inlineStr">
        <is>
          <t>Expose the customer-health score to marketing (gates cross-sell)</t>
        </is>
      </c>
      <c r="D45" s="149" t="inlineStr">
        <is>
          <t>Customer Success</t>
        </is>
      </c>
      <c r="E45" s="245" t="inlineStr">
        <is>
          <t>MEDIUM</t>
        </is>
      </c>
      <c r="F45" s="151" t="inlineStr">
        <is>
          <t>None</t>
        </is>
      </c>
      <c r="G45" s="149" t="inlineStr">
        <is>
          <t>Q3 plan</t>
        </is>
      </c>
    </row>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N7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4" customWidth="1" style="133" min="1" max="1"/>
    <col width="11" customWidth="1" style="133" min="2" max="3"/>
    <col width="18" customWidth="1" style="133" min="4" max="4"/>
    <col width="32" customWidth="1" style="133" min="5" max="6"/>
    <col width="38" customWidth="1" style="133" min="7" max="7"/>
    <col width="22" customWidth="1" style="133" min="8" max="9"/>
    <col width="13" customWidth="1" style="133" min="10" max="11"/>
    <col width="12" customWidth="1" style="133" min="12" max="12"/>
    <col width="22" customWidth="1" style="133" min="13" max="13"/>
    <col width="32" customWidth="1" style="133" min="14" max="14"/>
    <col width="8.710000000000001" customWidth="1" style="133" min="15" max="26"/>
  </cols>
  <sheetData>
    <row r="1" ht="19.5" customHeight="1" s="134">
      <c r="A1" s="247" t="inlineStr">
        <is>
          <t>ACTION-READY — Chrome extension execution view</t>
        </is>
      </c>
    </row>
    <row r="2" ht="30" customHeight="1" s="134">
      <c r="A2" s="248" t="inlineStr">
        <is>
          <t>Every confirmed audit finding translated into a discrete action with platform + account + entity ID + verification step + confidence rating. Drive Chrome extension actions from this tab.</t>
        </is>
      </c>
    </row>
    <row r="3" ht="24.75" customHeight="1" s="134">
      <c r="A3" s="249" t="inlineStr">
        <is>
          <t>LEGEND:  READY = ship now / VERIFY = check evidence in Chrome before acting / BLOCKED = waiting on dependency / ESCALATE = Zibi action / DECISION = Adrian to choose option / DEFERRED = scheduled later</t>
        </is>
      </c>
    </row>
    <row r="4"/>
    <row r="5" ht="39.75" customHeight="1" s="134">
      <c r="A5" s="148" t="inlineStr">
        <is>
          <t>#</t>
        </is>
      </c>
      <c r="B5" s="148" t="inlineStr">
        <is>
          <t>Confidence</t>
        </is>
      </c>
      <c r="C5" s="148" t="inlineStr">
        <is>
          <t>Platform</t>
        </is>
      </c>
      <c r="D5" s="148" t="inlineStr">
        <is>
          <t>Account</t>
        </is>
      </c>
      <c r="E5" s="148" t="inlineStr">
        <is>
          <t>Entity (name + ID)</t>
        </is>
      </c>
      <c r="F5" s="148" t="inlineStr">
        <is>
          <t>Action</t>
        </is>
      </c>
      <c r="G5" s="148" t="inlineStr">
        <is>
          <t>Verify in Chrome before acting</t>
        </is>
      </c>
      <c r="H5" s="148" t="inlineStr">
        <is>
          <t>Source finding</t>
        </is>
      </c>
      <c r="I5" s="148" t="inlineStr">
        <is>
          <t>Expected impact</t>
        </is>
      </c>
      <c r="J5" s="148" t="inlineStr">
        <is>
          <t>Sequence</t>
        </is>
      </c>
      <c r="K5" s="148" t="inlineStr">
        <is>
          <t>Owner</t>
        </is>
      </c>
      <c r="L5" s="148" t="inlineStr">
        <is>
          <t>Status</t>
        </is>
      </c>
      <c r="M5" s="148" t="inlineStr">
        <is>
          <t>Depends on</t>
        </is>
      </c>
      <c r="N5" s="148" t="inlineStr">
        <is>
          <t>Success criteria</t>
        </is>
      </c>
    </row>
    <row r="6" ht="21.75" customHeight="1" s="134">
      <c r="A6" s="250" t="inlineStr">
        <is>
          <t>SECTION 1 — ESCALATE TO ZIBI (governance, Adrian cannot self-execute)</t>
        </is>
      </c>
    </row>
    <row r="7" ht="90" customHeight="1" s="134">
      <c r="A7" s="149" t="n">
        <v>1</v>
      </c>
      <c r="B7" s="181" t="inlineStr">
        <is>
          <t>ESCALATE</t>
        </is>
      </c>
      <c r="C7" s="149" t="inlineStr">
        <is>
          <t>Microsoft Ads</t>
        </is>
      </c>
      <c r="D7" s="151" t="inlineStr">
        <is>
          <t>EN-BING (1457275) + FR-BING (145P17V), Manager K145002D7B</t>
        </is>
      </c>
      <c r="E7" s="151" t="inlineStr">
        <is>
          <t>Lukas Pangonis (Luksius11@gmail.com) Primary Super Admin on both Bing accounts</t>
        </is>
      </c>
      <c r="F7" s="151" t="inlineStr">
        <is>
          <t>Revoke Lukas Super Admin on BOTH Microsoft accounts. Then flip "Require sign-in with work account" to ON on both.</t>
        </is>
      </c>
      <c r="G7" s="151" t="inlineStr">
        <is>
          <t>Confirm Lukas still listed as Super Admin on User Management page (top-right gear → Account &amp; Billing → User Management) on each Bing account.</t>
        </is>
      </c>
      <c r="H7" s="151" t="inlineStr">
        <is>
          <t>Microsoft Ads finding 18 (CRITICAL)</t>
        </is>
      </c>
      <c r="I7" s="151" t="inlineStr">
        <is>
          <t>Closes major governance gap</t>
        </is>
      </c>
      <c r="J7" s="246" t="inlineStr">
        <is>
          <t>TODAY</t>
        </is>
      </c>
      <c r="K7" s="246" t="inlineStr">
        <is>
          <t>Zibi</t>
        </is>
      </c>
      <c r="L7" s="246" t="inlineStr">
        <is>
          <t>Not started</t>
        </is>
      </c>
      <c r="M7" s="151" t="inlineStr">
        <is>
          <t>None (Zibi can execute)</t>
        </is>
      </c>
      <c r="N7" s="151" t="inlineStr">
        <is>
          <t>Lukas no longer listed as Super Admin on either Bing account. "Require work account sign-in" = ON.</t>
        </is>
      </c>
    </row>
    <row r="8" ht="90" customHeight="1" s="134">
      <c r="A8" s="149" t="n">
        <v>2</v>
      </c>
      <c r="B8" s="181" t="inlineStr">
        <is>
          <t>ESCALATE</t>
        </is>
      </c>
      <c r="C8" s="149" t="inlineStr">
        <is>
          <t>Microsoft Ads</t>
        </is>
      </c>
      <c r="D8" s="151" t="inlineStr">
        <is>
          <t>FR-BING ADS (G145P17V)</t>
        </is>
      </c>
      <c r="E8" s="151" t="inlineStr">
        <is>
          <t>fabrice@thelead.fr Pending invite</t>
        </is>
      </c>
      <c r="F8" s="151" t="inlineStr">
        <is>
          <t>Revoke pending invite. If Fabrice handoff continues, reissue under work email.</t>
        </is>
      </c>
      <c r="G8" s="151" t="inlineStr">
        <is>
          <t>Confirm "Pending" status still shown on User Management page.</t>
        </is>
      </c>
      <c r="H8" s="151" t="inlineStr">
        <is>
          <t>Microsoft Ads finding 19 (HIGH)</t>
        </is>
      </c>
      <c r="I8" s="151" t="inlineStr">
        <is>
          <t>Closes contractor access pile</t>
        </is>
      </c>
      <c r="J8" s="246" t="inlineStr">
        <is>
          <t>TODAY</t>
        </is>
      </c>
      <c r="K8" s="246" t="inlineStr">
        <is>
          <t>Zibi</t>
        </is>
      </c>
      <c r="L8" s="246" t="inlineStr">
        <is>
          <t>Not started</t>
        </is>
      </c>
      <c r="M8" s="151" t="inlineStr">
        <is>
          <t>None (Zibi can execute)</t>
        </is>
      </c>
      <c r="N8" s="151" t="inlineStr">
        <is>
          <t>Zibi confirms action taken. Adrian verifies result in respective UI.</t>
        </is>
      </c>
    </row>
    <row r="9" ht="90" customHeight="1" s="134">
      <c r="A9" s="149" t="n">
        <v>3</v>
      </c>
      <c r="B9" s="181" t="inlineStr">
        <is>
          <t>ESCALATE</t>
        </is>
      </c>
      <c r="C9" s="149" t="inlineStr">
        <is>
          <t>Microsoft Ads</t>
        </is>
      </c>
      <c r="D9" s="151" t="inlineStr">
        <is>
          <t>EN-BING + FR-BING</t>
        </is>
      </c>
      <c r="E9" s="151" t="inlineStr">
        <is>
          <t>"Require sign-in with work account" setting</t>
        </is>
      </c>
      <c r="F9" s="151" t="inlineStr">
        <is>
          <t>Flip ON after Lukas + Fabrice revocation. Prevents recurrence.</t>
        </is>
      </c>
      <c r="G9" s="151" t="inlineStr">
        <is>
          <t>Settings location: Account Settings page on each Microsoft account.</t>
        </is>
      </c>
      <c r="H9" s="151" t="inlineStr">
        <is>
          <t>Microsoft Ads finding 18</t>
        </is>
      </c>
      <c r="I9" s="151" t="inlineStr">
        <is>
          <t>Prevents future personal-Gmail admin</t>
        </is>
      </c>
      <c r="J9" s="246" t="inlineStr">
        <is>
          <t>TODAY</t>
        </is>
      </c>
      <c r="K9" s="246" t="inlineStr">
        <is>
          <t>Zibi</t>
        </is>
      </c>
      <c r="L9" s="246" t="inlineStr">
        <is>
          <t>Not started</t>
        </is>
      </c>
      <c r="M9" s="151" t="inlineStr">
        <is>
          <t>None (Zibi can execute)</t>
        </is>
      </c>
      <c r="N9" s="151" t="inlineStr">
        <is>
          <t>Zibi confirms action taken. Adrian verifies result in respective UI.</t>
        </is>
      </c>
    </row>
    <row r="10" ht="90" customHeight="1" s="134">
      <c r="A10" s="149" t="n">
        <v>4</v>
      </c>
      <c r="B10" s="181" t="inlineStr">
        <is>
          <t>ESCALATE</t>
        </is>
      </c>
      <c r="C10" s="149" t="inlineStr">
        <is>
          <t>Google Ads</t>
        </is>
      </c>
      <c r="D10" s="151" t="inlineStr">
        <is>
          <t>FR (Mapal-France 720-427-387)</t>
        </is>
      </c>
      <c r="E10" s="151" t="inlineStr">
        <is>
          <t>tceclickboost@gmail.com user (if still has access)</t>
        </is>
      </c>
      <c r="F10" s="151" t="inlineStr">
        <is>
          <t>Verify TCE-ClickBoost has current account access via Admin &gt; Access. Revoke if present. Archive 2 stale 2022-2023 budget rules they created.</t>
        </is>
      </c>
      <c r="G10" s="151" t="inlineStr">
        <is>
          <t>Confirm user status in Admin &gt; Access. Note: rules history shows the user but does not confirm current access — verification needed.</t>
        </is>
      </c>
      <c r="H10" s="151" t="inlineStr">
        <is>
          <t>Google Ads finding (re-numbered) row 3</t>
        </is>
      </c>
      <c r="I10" s="151" t="inlineStr">
        <is>
          <t>Closes 4th contractor identity</t>
        </is>
      </c>
      <c r="J10" s="246" t="inlineStr">
        <is>
          <t>THIS WEEK</t>
        </is>
      </c>
      <c r="K10" s="246" t="inlineStr">
        <is>
          <t>Zibi</t>
        </is>
      </c>
      <c r="L10" s="246" t="inlineStr">
        <is>
          <t>Not started</t>
        </is>
      </c>
      <c r="M10" s="151" t="inlineStr">
        <is>
          <t>None (Zibi can execute)</t>
        </is>
      </c>
      <c r="N10" s="151" t="inlineStr">
        <is>
          <t>Item shows Archived status. No longer in active inventory views.</t>
        </is>
      </c>
    </row>
    <row r="11" ht="90" customHeight="1" s="134">
      <c r="A11" s="149" t="n">
        <v>5</v>
      </c>
      <c r="B11" s="181" t="inlineStr">
        <is>
          <t>ESCALATE</t>
        </is>
      </c>
      <c r="C11" s="149" t="inlineStr">
        <is>
          <t>Google Ads</t>
        </is>
      </c>
      <c r="D11" s="151" t="inlineStr">
        <is>
          <t>UK (Mapal-UK 664-360-5314)</t>
        </is>
      </c>
      <c r="E11" s="151" t="inlineStr">
        <is>
          <t>Lukas Pangonis (luksius11@gmail.com) — primary editor 90d</t>
        </is>
      </c>
      <c r="F11" s="151" t="inlineStr">
        <is>
          <t>Verify Lukas access status on UK Google Ads. Revoke if still present. Same person as Microsoft Lukas.</t>
        </is>
      </c>
      <c r="G11" s="151" t="inlineStr">
        <is>
          <t>Confirm in Admin &gt; Access on UK account.</t>
        </is>
      </c>
      <c r="H11" s="151" t="inlineStr">
        <is>
          <t>Google Ads finding (re-numbered) row 4</t>
        </is>
      </c>
      <c r="I11" s="151" t="inlineStr">
        <is>
          <t>Cross-platform governance closure</t>
        </is>
      </c>
      <c r="J11" s="246" t="inlineStr">
        <is>
          <t>THIS WEEK</t>
        </is>
      </c>
      <c r="K11" s="246" t="inlineStr">
        <is>
          <t>Zibi</t>
        </is>
      </c>
      <c r="L11" s="246" t="inlineStr">
        <is>
          <t>Not started</t>
        </is>
      </c>
      <c r="M11" s="151" t="inlineStr">
        <is>
          <t>None (Zibi can execute)</t>
        </is>
      </c>
      <c r="N11" s="151" t="inlineStr">
        <is>
          <t>Lukas no longer listed as Super Admin on either Bing account. "Require work account sign-in" = ON.</t>
        </is>
      </c>
    </row>
    <row r="12" ht="90" customHeight="1" s="134">
      <c r="A12" s="149" t="n">
        <v>6</v>
      </c>
      <c r="B12" s="181" t="inlineStr">
        <is>
          <t>ESCALATE</t>
        </is>
      </c>
      <c r="C12" s="149" t="inlineStr">
        <is>
          <t>Google Ads</t>
        </is>
      </c>
      <c r="D12" s="151" t="inlineStr">
        <is>
          <t>ES (Mapal-Spain 656-420-5389)</t>
        </is>
      </c>
      <c r="E12" s="151" t="inlineStr">
        <is>
          <t>Javier Romero (marketing@jjromero.com) — primary editor 90d on ES + LATAM</t>
        </is>
      </c>
      <c r="F12" s="151" t="inlineStr">
        <is>
          <t>Verify Javier access status on ES Google Ads. Revoke if still present.</t>
        </is>
      </c>
      <c r="G12" s="151" t="inlineStr">
        <is>
          <t>Confirm in Admin &gt; Access on ES account.</t>
        </is>
      </c>
      <c r="H12" s="151" t="inlineStr">
        <is>
          <t>Google Ads finding (re-numbered) row 5</t>
        </is>
      </c>
      <c r="I12" s="151" t="inlineStr">
        <is>
          <t>Cross-platform governance closure</t>
        </is>
      </c>
      <c r="J12" s="246" t="inlineStr">
        <is>
          <t>THIS WEEK</t>
        </is>
      </c>
      <c r="K12" s="246" t="inlineStr">
        <is>
          <t>Zibi</t>
        </is>
      </c>
      <c r="L12" s="246" t="inlineStr">
        <is>
          <t>Not started</t>
        </is>
      </c>
      <c r="M12" s="151" t="inlineStr">
        <is>
          <t>None (Zibi can execute)</t>
        </is>
      </c>
      <c r="N12" s="151" t="inlineStr">
        <is>
          <t>Data confirmed from Chrome. Decision: act or not. Documented in master sheet.</t>
        </is>
      </c>
    </row>
    <row r="13" ht="90" customHeight="1" s="134">
      <c r="A13" s="149" t="n">
        <v>7</v>
      </c>
      <c r="B13" s="181" t="inlineStr">
        <is>
          <t>ESCALATE</t>
        </is>
      </c>
      <c r="C13" s="149" t="inlineStr">
        <is>
          <t>Google Ads</t>
        </is>
      </c>
      <c r="D13" s="151" t="inlineStr">
        <is>
          <t>FR (Mapal-France 720-427-387)</t>
        </is>
      </c>
      <c r="E13" s="151" t="inlineStr">
        <is>
          <t>Fabrice (fabrice@thelead.fr) — primary editor 90d on FR</t>
        </is>
      </c>
      <c r="F13" s="151" t="inlineStr">
        <is>
          <t>Verify Fabrice access status on FR Google Ads. Coordinate with Zibi: keep for handoff, or revoke now.</t>
        </is>
      </c>
      <c r="G13" s="151" t="inlineStr">
        <is>
          <t>Confirm in Admin &gt; Access on FR account.</t>
        </is>
      </c>
      <c r="H13" s="151" t="inlineStr">
        <is>
          <t>Multiple Google + Microsoft findings</t>
        </is>
      </c>
      <c r="I13" s="151" t="inlineStr">
        <is>
          <t>Cross-platform governance closure</t>
        </is>
      </c>
      <c r="J13" s="246" t="inlineStr">
        <is>
          <t>THIS WEEK</t>
        </is>
      </c>
      <c r="K13" s="246" t="inlineStr">
        <is>
          <t>Zibi</t>
        </is>
      </c>
      <c r="L13" s="246" t="inlineStr">
        <is>
          <t>Not started</t>
        </is>
      </c>
      <c r="M13" s="151" t="inlineStr">
        <is>
          <t>None (Zibi can execute)</t>
        </is>
      </c>
      <c r="N13" s="151" t="inlineStr">
        <is>
          <t>Data confirmed from Chrome. Decision: act or not. Documented in master sheet.</t>
        </is>
      </c>
    </row>
    <row r="14" ht="90" customHeight="1" s="134">
      <c r="A14" s="149" t="n">
        <v>8</v>
      </c>
      <c r="B14" s="181" t="inlineStr">
        <is>
          <t>ESCALATE</t>
        </is>
      </c>
      <c r="C14" s="149" t="inlineStr">
        <is>
          <t>Google Ads</t>
        </is>
      </c>
      <c r="D14" s="151" t="inlineStr">
        <is>
          <t>All 3 accounts (UK + ES + FR)</t>
        </is>
      </c>
      <c r="E14" s="151" t="inlineStr">
        <is>
          <t>Recommendations Auto-Apply (silent automation)</t>
        </is>
      </c>
      <c r="F14" s="151" t="inlineStr">
        <is>
          <t>Disable Recommendations Auto-Apply across all 3 accounts. Manual review of each recommendation should be policy.</t>
        </is>
      </c>
      <c r="G14" s="151" t="inlineStr">
        <is>
          <t>Settings &gt; Recommendations &gt; Auto-apply. Currently ON for ES (confirmed Apr 10-11 fired Display targeting expansion). UK + FR status not directly confirmed.</t>
        </is>
      </c>
      <c r="H14" s="151" t="inlineStr">
        <is>
          <t>Google Ads finding 6</t>
        </is>
      </c>
      <c r="I14" s="151" t="inlineStr">
        <is>
          <t>Stops silent targeting changes</t>
        </is>
      </c>
      <c r="J14" s="246" t="inlineStr">
        <is>
          <t>THIS WEEK</t>
        </is>
      </c>
      <c r="K14" s="246" t="inlineStr">
        <is>
          <t>Zibi</t>
        </is>
      </c>
      <c r="L14" s="246" t="inlineStr">
        <is>
          <t>Not started</t>
        </is>
      </c>
      <c r="M14" s="151" t="inlineStr">
        <is>
          <t>None (Zibi can execute)</t>
        </is>
      </c>
      <c r="N14" s="151" t="inlineStr">
        <is>
          <t>Zibi confirms action taken. Adrian verifies result in respective UI.</t>
        </is>
      </c>
    </row>
    <row r="15"/>
    <row r="16" ht="21.75" customHeight="1" s="134">
      <c r="A16" s="250" t="inlineStr">
        <is>
          <t>SECTION 2 — READY TO SHIP via Chrome (Microsoft Ads)</t>
        </is>
      </c>
    </row>
    <row r="17" ht="90" customHeight="1" s="134">
      <c r="A17" s="149" t="n">
        <v>9</v>
      </c>
      <c r="B17" s="184" t="inlineStr">
        <is>
          <t>READY</t>
        </is>
      </c>
      <c r="C17" s="149" t="inlineStr">
        <is>
          <t>Microsoft</t>
        </is>
      </c>
      <c r="D17" s="151" t="inlineStr">
        <is>
          <t>FR-BING ADS (G145P17V)</t>
        </is>
      </c>
      <c r="E17" s="151" t="inlineStr">
        <is>
          <t>(CORE) Workforce-FR + 3 Workforce Scale-keyword variants (4 campaigns total)</t>
        </is>
      </c>
      <c r="F17" s="151" t="inlineStr">
        <is>
          <t>PAUSE all 4 FR Workforce campaigns</t>
        </is>
      </c>
      <c r="G17" s="151" t="inlineStr">
        <is>
          <t>In Campaigns view filter: search "Workforce" in FR-BING. Confirm 4 campaigns. Note current statuses before pausing.</t>
        </is>
      </c>
      <c r="H17" s="151" t="inlineStr">
        <is>
          <t>Microsoft finding 2 + 26 (CRITICAL/HIGH)</t>
        </is>
      </c>
      <c r="I17" s="151" t="inlineStr">
        <is>
          <t>€785/90d / 0 conv stopped. ~€3,185/yr.</t>
        </is>
      </c>
      <c r="J17" s="246" t="inlineStr">
        <is>
          <t>THIS WEEK</t>
        </is>
      </c>
      <c r="K17" s="246" t="inlineStr">
        <is>
          <t>Adrian</t>
        </is>
      </c>
      <c r="L17" s="246" t="inlineStr">
        <is>
          <t>Not started</t>
        </is>
      </c>
      <c r="M17" s="151" t="inlineStr">
        <is>
          <t>None</t>
        </is>
      </c>
      <c r="N17" s="151" t="inlineStr">
        <is>
          <t>All 4 FR Workforce campaigns Status = Paused. Comment posted on each with audit rationale. Daily spend check shows €0 across these 4.</t>
        </is>
      </c>
    </row>
    <row r="18" ht="90" customHeight="1" s="134">
      <c r="A18" s="149" t="n">
        <v>10</v>
      </c>
      <c r="B18" s="184" t="inlineStr">
        <is>
          <t>READY</t>
        </is>
      </c>
      <c r="C18" s="149" t="inlineStr">
        <is>
          <t>Microsoft</t>
        </is>
      </c>
      <c r="D18" s="151" t="inlineStr">
        <is>
          <t>FR-BING ADS (G145P17V)</t>
        </is>
      </c>
      <c r="E18" s="151" t="inlineStr">
        <is>
          <t>FR Microsoft Audience Network campaigns (enumerate)</t>
        </is>
      </c>
      <c r="F18" s="151" t="inlineStr">
        <is>
          <t>Identify all MS Audience Network campaigns on FR. Pause them.</t>
        </is>
      </c>
      <c r="G18" s="151" t="inlineStr">
        <is>
          <t>In Campaigns view, filter by Campaign Type = "Audience". Total ~€900/90d / 1 conv across these. Capture campaign names + IDs before pausing.</t>
        </is>
      </c>
      <c r="H18" s="151" t="inlineStr">
        <is>
          <t>Microsoft finding 10 (HIGH)</t>
        </is>
      </c>
      <c r="I18" s="151" t="inlineStr">
        <is>
          <t>€901/90d / 1 conv stopped. ~€3,656/yr.</t>
        </is>
      </c>
      <c r="J18" s="246" t="inlineStr">
        <is>
          <t>THIS WEEK</t>
        </is>
      </c>
      <c r="K18" s="246" t="inlineStr">
        <is>
          <t>Adrian</t>
        </is>
      </c>
      <c r="L18" s="246" t="inlineStr">
        <is>
          <t>Not started</t>
        </is>
      </c>
      <c r="M18" s="151" t="inlineStr">
        <is>
          <t>None</t>
        </is>
      </c>
      <c r="N18" s="151" t="inlineStr">
        <is>
          <t>All FR MS Audience Network campaigns Paused. Comment posted with audit rationale.</t>
        </is>
      </c>
    </row>
    <row r="19" ht="90" customHeight="1" s="134">
      <c r="A19" s="149" t="n">
        <v>11</v>
      </c>
      <c r="B19" s="184" t="inlineStr">
        <is>
          <t>READY</t>
        </is>
      </c>
      <c r="C19" s="149" t="inlineStr">
        <is>
          <t>Microsoft</t>
        </is>
      </c>
      <c r="D19" s="151" t="inlineStr">
        <is>
          <t>FR-BING ADS (G145P17V)</t>
        </is>
      </c>
      <c r="E19" s="151" t="inlineStr">
        <is>
          <t>Easilys Negatives FR shared list (250 keywords, currently orphan)</t>
        </is>
      </c>
      <c r="F19" s="151" t="inlineStr">
        <is>
          <t>ATTACH the orphan "Easilys Negatives FR" list (250 KWs) to all active FR Easilys campaigns (~16 campaigns)</t>
        </is>
      </c>
      <c r="G19" s="151" t="inlineStr">
        <is>
          <t>In Shared Library &gt; Negative Keyword Lists, confirm the list exists at 250 KWs / 0 campaigns. Identify the ~16 active Easilys campaigns by filter.</t>
        </is>
      </c>
      <c r="H19" s="151" t="inlineStr">
        <is>
          <t>Microsoft finding 20 (HIGH)</t>
        </is>
      </c>
      <c r="I19" s="151" t="inlineStr">
        <is>
          <t>5-10% spend efficiency on ~€5,900/yr FR Easilys. ~€400/yr.</t>
        </is>
      </c>
      <c r="J19" s="246" t="inlineStr">
        <is>
          <t>THIS WEEK</t>
        </is>
      </c>
      <c r="K19" s="246" t="inlineStr">
        <is>
          <t>Adrian</t>
        </is>
      </c>
      <c r="L19" s="246" t="inlineStr">
        <is>
          <t>Not started</t>
        </is>
      </c>
      <c r="M19" s="151" t="inlineStr">
        <is>
          <t>None</t>
        </is>
      </c>
      <c r="N19" s="151" t="inlineStr">
        <is>
          <t>Easilys Negatives FR list shows &gt;0 campaigns sharing (was 0). Active Easilys FR campaigns all have the list attached.</t>
        </is>
      </c>
    </row>
    <row r="20" ht="90" customHeight="1" s="134">
      <c r="A20" s="149" t="n">
        <v>12</v>
      </c>
      <c r="B20" s="184" t="inlineStr">
        <is>
          <t>READY</t>
        </is>
      </c>
      <c r="C20" s="149" t="inlineStr">
        <is>
          <t>Microsoft</t>
        </is>
      </c>
      <c r="D20" s="151" t="inlineStr">
        <is>
          <t>FR-BING ADS (G145P17V)</t>
        </is>
      </c>
      <c r="E20" s="151" t="inlineStr">
        <is>
          <t>"Negative List - UK - LMS" shared list (34 KWs, orphan, wrong account)</t>
        </is>
      </c>
      <c r="F20" s="151" t="inlineStr">
        <is>
          <t>ARCHIVE the UK-LMS list from FR account. If contents relevant to UK, copy to UK account first (currently UK has 0 lists).</t>
        </is>
      </c>
      <c r="G20" s="151" t="inlineStr">
        <is>
          <t>Confirm 0 campaigns sharing in Shared Library.</t>
        </is>
      </c>
      <c r="H20" s="151" t="inlineStr">
        <is>
          <t>Microsoft finding 20</t>
        </is>
      </c>
      <c r="I20" s="151" t="inlineStr">
        <is>
          <t>Cleanup hygiene</t>
        </is>
      </c>
      <c r="J20" s="246" t="inlineStr">
        <is>
          <t>THIS WEEK</t>
        </is>
      </c>
      <c r="K20" s="246" t="inlineStr">
        <is>
          <t>Adrian</t>
        </is>
      </c>
      <c r="L20" s="246" t="inlineStr">
        <is>
          <t>Not started</t>
        </is>
      </c>
      <c r="M20" s="151" t="inlineStr">
        <is>
          <t>None</t>
        </is>
      </c>
      <c r="N20" s="151" t="inlineStr">
        <is>
          <t>Item shows Archived status. No longer in active inventory views.</t>
        </is>
      </c>
    </row>
    <row r="21" ht="90" customHeight="1" s="134">
      <c r="A21" s="149" t="n">
        <v>13</v>
      </c>
      <c r="B21" s="184" t="inlineStr">
        <is>
          <t>READY</t>
        </is>
      </c>
      <c r="C21" s="149" t="inlineStr">
        <is>
          <t>Microsoft</t>
        </is>
      </c>
      <c r="D21" s="151" t="inlineStr">
        <is>
          <t>EN-BING ADS (G1457275)</t>
        </is>
      </c>
      <c r="E21" s="151" t="inlineStr">
        <is>
          <t>(GROW) Food Complience Software (misspelled duplicate)</t>
        </is>
      </c>
      <c r="F21" s="151" t="inlineStr">
        <is>
          <t>ARCHIVE the misspelled duplicate campaign</t>
        </is>
      </c>
      <c r="G21" s="151" t="inlineStr">
        <is>
          <t>Confirm 0 spend / never enabled. Keep the correctly-named "(GROW) Food Compliance - EN".</t>
        </is>
      </c>
      <c r="H21" s="151" t="inlineStr">
        <is>
          <t>Microsoft finding 15 (LOW)</t>
        </is>
      </c>
      <c r="I21" s="151" t="inlineStr">
        <is>
          <t>Cleanup hygiene</t>
        </is>
      </c>
      <c r="J21" s="246" t="inlineStr">
        <is>
          <t>NEXT WEEK</t>
        </is>
      </c>
      <c r="K21" s="246" t="inlineStr">
        <is>
          <t>Adrian</t>
        </is>
      </c>
      <c r="L21" s="246" t="inlineStr">
        <is>
          <t>Not started</t>
        </is>
      </c>
      <c r="M21" s="151" t="inlineStr">
        <is>
          <t>None</t>
        </is>
      </c>
      <c r="N21" s="151" t="inlineStr">
        <is>
          <t>Item shows Archived status. No longer in active inventory views.</t>
        </is>
      </c>
    </row>
    <row r="22" ht="90" customHeight="1" s="134">
      <c r="A22" s="149" t="n">
        <v>14</v>
      </c>
      <c r="B22" s="184" t="inlineStr">
        <is>
          <t>READY</t>
        </is>
      </c>
      <c r="C22" s="149" t="inlineStr">
        <is>
          <t>Microsoft</t>
        </is>
      </c>
      <c r="D22" s="151" t="inlineStr">
        <is>
          <t>FR-BING ADS (G145P17V)</t>
        </is>
      </c>
      <c r="E22" s="151" t="inlineStr">
        <is>
          <t>(CORE) Mapal-FR brand campaign</t>
        </is>
      </c>
      <c r="F22" s="151" t="inlineStr">
        <is>
          <t>ADD negative keywords: "logiciel mapal workforce", "mapal workforce logiciel", plus other Workforce-mention combinations</t>
        </is>
      </c>
      <c r="G22" s="151" t="inlineStr">
        <is>
          <t>Top FR Bing keywords by spend currently: "logiciel mapal workforce" €223/551 clicks/0 conv, "mapal workforce logiciel" €146/349 clicks/0 conv. Eating brand budget for non-sellable product.</t>
        </is>
      </c>
      <c r="H22" s="151" t="inlineStr">
        <is>
          <t>Microsoft finding 7 (HIGH)</t>
        </is>
      </c>
      <c r="I22" s="151" t="inlineStr">
        <is>
          <t>€369/90d brand budget recovered</t>
        </is>
      </c>
      <c r="J22" s="246" t="inlineStr">
        <is>
          <t>NEXT WEEK</t>
        </is>
      </c>
      <c r="K22" s="246" t="inlineStr">
        <is>
          <t>Adrian</t>
        </is>
      </c>
      <c r="L22" s="246" t="inlineStr">
        <is>
          <t>Not started</t>
        </is>
      </c>
      <c r="M22" s="151" t="inlineStr">
        <is>
          <t>None</t>
        </is>
      </c>
      <c r="N22" s="151" t="inlineStr">
        <is>
          <t>Action completed and verified in respective platform UI.</t>
        </is>
      </c>
    </row>
    <row r="23" ht="90" customHeight="1" s="134">
      <c r="A23" s="149" t="n">
        <v>15</v>
      </c>
      <c r="B23" s="184" t="inlineStr">
        <is>
          <t>READY</t>
        </is>
      </c>
      <c r="C23" s="149" t="inlineStr">
        <is>
          <t>Microsoft</t>
        </is>
      </c>
      <c r="D23" s="151" t="inlineStr">
        <is>
          <t>FR-BING ADS (G145P17V)</t>
        </is>
      </c>
      <c r="E23" s="151" t="inlineStr">
        <is>
          <t>Cross-pollution audience "ES - Request a Demo - Google Ads (540)" (#823046754)</t>
        </is>
      </c>
      <c r="F23" s="151" t="inlineStr">
        <is>
          <t>REMOVE this audience from FR account</t>
        </is>
      </c>
      <c r="G23" s="151" t="inlineStr">
        <is>
          <t>Audience library: 10 search size / 44 audience size / 0 associations. Provisioned wrongly in FR.</t>
        </is>
      </c>
      <c r="H23" s="151" t="inlineStr">
        <is>
          <t>Microsoft finding 24 (MEDIUM)</t>
        </is>
      </c>
      <c r="I23" s="151" t="inlineStr">
        <is>
          <t>Cleanup hygiene</t>
        </is>
      </c>
      <c r="J23" s="246" t="inlineStr">
        <is>
          <t>NEXT WEEK</t>
        </is>
      </c>
      <c r="K23" s="246" t="inlineStr">
        <is>
          <t>Adrian</t>
        </is>
      </c>
      <c r="L23" s="246" t="inlineStr">
        <is>
          <t>Not started</t>
        </is>
      </c>
      <c r="M23" s="151" t="inlineStr">
        <is>
          <t>None</t>
        </is>
      </c>
      <c r="N23" s="151" t="inlineStr">
        <is>
          <t>Action completed and verified in respective platform UI.</t>
        </is>
      </c>
    </row>
    <row r="24" ht="90" customHeight="1" s="134">
      <c r="A24" s="149" t="n">
        <v>16</v>
      </c>
      <c r="B24" s="183" t="inlineStr">
        <is>
          <t>VERIFY</t>
        </is>
      </c>
      <c r="C24" s="149" t="inlineStr">
        <is>
          <t>Microsoft</t>
        </is>
      </c>
      <c r="D24" s="151" t="inlineStr">
        <is>
          <t>EN-BING ADS (G1457275)</t>
        </is>
      </c>
      <c r="E24" s="151" t="inlineStr">
        <is>
          <t>Account timezone setting (currently GMT+02:00 Helsinki/Kyiv/Riga)</t>
        </is>
      </c>
      <c r="F24" s="151" t="inlineStr">
        <is>
          <t>CHANGE timezone to Europe/London. May require Microsoft support ticket (timezone often locked post first campaign).</t>
        </is>
      </c>
      <c r="G24" s="151" t="inlineStr">
        <is>
          <t>Settings &gt; Account Settings page. Try in UI first. If locked, open support ticket.</t>
        </is>
      </c>
      <c r="H24" s="151" t="inlineStr">
        <is>
          <t>Microsoft finding 4 (HIGH)</t>
        </is>
      </c>
      <c r="I24" s="151" t="inlineStr">
        <is>
          <t>Fixes day-parting + YoY comparison</t>
        </is>
      </c>
      <c r="J24" s="246" t="inlineStr">
        <is>
          <t>THIS WEEK</t>
        </is>
      </c>
      <c r="K24" s="246" t="inlineStr">
        <is>
          <t>Adrian</t>
        </is>
      </c>
      <c r="L24" s="246" t="inlineStr">
        <is>
          <t>Not started</t>
        </is>
      </c>
      <c r="M24" s="151" t="inlineStr">
        <is>
          <t>None</t>
        </is>
      </c>
      <c r="N24" s="151" t="inlineStr">
        <is>
          <t>Action completed and verified in respective platform UI.</t>
        </is>
      </c>
    </row>
    <row r="25" ht="15.75" customHeight="1" s="134"/>
    <row r="26" ht="21.75" customHeight="1" s="134">
      <c r="A26" s="250" t="inlineStr">
        <is>
          <t>SECTION 3 — READY TO SHIP via Chrome (Google Ads)</t>
        </is>
      </c>
    </row>
    <row r="27" ht="90" customHeight="1" s="134">
      <c r="A27" s="149" t="n">
        <v>17</v>
      </c>
      <c r="B27" s="184" t="inlineStr">
        <is>
          <t>READY</t>
        </is>
      </c>
      <c r="C27" s="149" t="inlineStr">
        <is>
          <t>Google Ads</t>
        </is>
      </c>
      <c r="D27" s="151" t="inlineStr">
        <is>
          <t>UK (664-360-5314)</t>
        </is>
      </c>
      <c r="E27" s="151" t="inlineStr">
        <is>
          <t>(CORE) Mapal-EN brand defence campaign — currently PAUSED since Dec 4 2025</t>
        </is>
      </c>
      <c r="F27" s="151" t="inlineStr">
        <is>
          <t>UNPAUSE the campaign as-is. Lifetime €13.64 CPA / 162 conv historical baseline.</t>
        </is>
      </c>
      <c r="G27" s="151" t="inlineStr">
        <is>
          <t>Confirm campaign status = Paused. Confirm bid strategy + budget look reasonable for resumption. Check competitor presence (Lightspeed, Cloudbeds confirmed bidders).</t>
        </is>
      </c>
      <c r="H27" s="151" t="inlineStr">
        <is>
          <t>Google Ads multiple + Exec Summary #1</t>
        </is>
      </c>
      <c r="I27" s="151" t="inlineStr">
        <is>
          <t>Captures brand demand currently lost. 20-40 incremental leads/yr.</t>
        </is>
      </c>
      <c r="J27" s="246" t="inlineStr">
        <is>
          <t>THIS WEEK</t>
        </is>
      </c>
      <c r="K27" s="246" t="inlineStr">
        <is>
          <t>Adrian</t>
        </is>
      </c>
      <c r="L27" s="246" t="inlineStr">
        <is>
          <t>Not started</t>
        </is>
      </c>
      <c r="M27" s="151" t="inlineStr">
        <is>
          <t>None</t>
        </is>
      </c>
      <c r="N27" s="151" t="inlineStr">
        <is>
          <t>CORE Mapal-EN Status = Enabled. First 7 days: IS &gt;80%, CPC within historical band, no quality-score regression.</t>
        </is>
      </c>
    </row>
    <row r="28" ht="90" customHeight="1" s="134">
      <c r="A28" s="149" t="n">
        <v>18</v>
      </c>
      <c r="B28" s="184" t="inlineStr">
        <is>
          <t>READY</t>
        </is>
      </c>
      <c r="C28" s="149" t="inlineStr">
        <is>
          <t>Google Ads</t>
        </is>
      </c>
      <c r="D28" s="151" t="inlineStr">
        <is>
          <t>UK (664-360-5314)</t>
        </is>
      </c>
      <c r="E28" s="151" t="inlineStr">
        <is>
          <t>"Employment Leisure &amp; Hospitality Jobs" in-market audience — attached to 3 UK campaigns</t>
        </is>
      </c>
      <c r="F28" s="151" t="inlineStr">
        <is>
          <t>REMOVE from (GROW) Flow-Scale-New + (GROW) Compliance-New (clear mismatches). Decision on (GROW) Flow-Hospitality Training-New (partial match — Workforce-adjacent).</t>
        </is>
      </c>
      <c r="G28" s="151" t="inlineStr">
        <is>
          <t>Audience attached as Observation mode (no bid manipulation). Confirm on each campaign Audiences tab. 130 clicks attributed to Flow-Scale-New from this audience.</t>
        </is>
      </c>
      <c r="H28" s="151" t="inlineStr">
        <is>
          <t>Google Ads finding row 20 (CRITICAL)</t>
        </is>
      </c>
      <c r="I28" s="151" t="inlineStr">
        <is>
          <t>€5,356/90d cross-market leak. ~€21,737/yr.</t>
        </is>
      </c>
      <c r="J28" s="246" t="inlineStr">
        <is>
          <t>THIS WEEK</t>
        </is>
      </c>
      <c r="K28" s="246" t="inlineStr">
        <is>
          <t>Adrian</t>
        </is>
      </c>
      <c r="L28" s="246" t="inlineStr">
        <is>
          <t>Not started</t>
        </is>
      </c>
      <c r="M28" s="151" t="inlineStr">
        <is>
          <t>None</t>
        </is>
      </c>
      <c r="N28" s="151" t="inlineStr">
        <is>
          <t>Employment Leisure &amp; Hospitality Jobs audience NOT visible on the 5 mismatched campaigns. ES Workforce-ES retains the audience.</t>
        </is>
      </c>
    </row>
    <row r="29" ht="90" customHeight="1" s="134">
      <c r="A29" s="149" t="n">
        <v>19</v>
      </c>
      <c r="B29" s="184" t="inlineStr">
        <is>
          <t>READY</t>
        </is>
      </c>
      <c r="C29" s="149" t="inlineStr">
        <is>
          <t>Google Ads</t>
        </is>
      </c>
      <c r="D29" s="151" t="inlineStr">
        <is>
          <t>FR (720-427-387)</t>
        </is>
      </c>
      <c r="E29" s="151" t="inlineStr">
        <is>
          <t>"Employment Leisure &amp; Hospitality Jobs" in-market audience — attached to 2 FR campaigns</t>
        </is>
      </c>
      <c r="F29" s="151" t="inlineStr">
        <is>
          <t>REMOVE from (CORE) Mapal-FR + (CORE) Easilys v2-FR (both mismatches — not Workforce products)</t>
        </is>
      </c>
      <c r="G29" s="151" t="inlineStr">
        <is>
          <t>Audience attached as Observation mode. Confirm on each campaign Audiences tab.</t>
        </is>
      </c>
      <c r="H29" s="151" t="inlineStr">
        <is>
          <t>Google Ads finding row 20</t>
        </is>
      </c>
      <c r="I29" s="151" t="inlineStr">
        <is>
          <t>Part of €5,356/90d leak</t>
        </is>
      </c>
      <c r="J29" s="246" t="inlineStr">
        <is>
          <t>THIS WEEK</t>
        </is>
      </c>
      <c r="K29" s="246" t="inlineStr">
        <is>
          <t>Adrian</t>
        </is>
      </c>
      <c r="L29" s="246" t="inlineStr">
        <is>
          <t>Not started</t>
        </is>
      </c>
      <c r="M29" s="151" t="inlineStr">
        <is>
          <t>None</t>
        </is>
      </c>
      <c r="N29" s="151" t="inlineStr">
        <is>
          <t>Employment Leisure &amp; Hospitality Jobs audience NOT visible on the 5 mismatched campaigns. ES Workforce-ES retains the audience.</t>
        </is>
      </c>
    </row>
    <row r="30" ht="90" customHeight="1" s="134">
      <c r="A30" s="149" t="n">
        <v>20</v>
      </c>
      <c r="B30" s="184" t="inlineStr">
        <is>
          <t>READY</t>
        </is>
      </c>
      <c r="C30" s="149" t="inlineStr">
        <is>
          <t>Google Ads</t>
        </is>
      </c>
      <c r="D30" s="151" t="inlineStr">
        <is>
          <t>ES (656-420-5389)</t>
        </is>
      </c>
      <c r="E30" s="151" t="inlineStr">
        <is>
          <t>ES "Compra" conversion (Removed status, still Primary, still in account-level goals)</t>
        </is>
      </c>
      <c r="F30" s="151" t="inlineStr">
        <is>
          <t>UNMARK from Primary + REMOVE from account-level goals</t>
        </is>
      </c>
      <c r="G30" s="151" t="inlineStr">
        <is>
          <t>Tools &gt; Conversions. Find "Compra" conversion. Click to verify status = Removed + Primary = Yes + In goals = Yes.</t>
        </is>
      </c>
      <c r="H30" s="151" t="inlineStr">
        <is>
          <t>Google Ads finding row 22 (HIGH)</t>
        </is>
      </c>
      <c r="I30" s="151" t="inlineStr">
        <is>
          <t>Stops Smart Bidding optimizing toward defunct event</t>
        </is>
      </c>
      <c r="J30" s="246" t="inlineStr">
        <is>
          <t>THIS WEEK</t>
        </is>
      </c>
      <c r="K30" s="246" t="inlineStr">
        <is>
          <t>Adrian</t>
        </is>
      </c>
      <c r="L30" s="246" t="inlineStr">
        <is>
          <t>Not started</t>
        </is>
      </c>
      <c r="M30" s="151" t="inlineStr">
        <is>
          <t>None</t>
        </is>
      </c>
      <c r="N30" s="151" t="inlineStr">
        <is>
          <t>Conversions no longer flagged Primary. Removed from account-level goals. Google UI banner-warning disappears after 24h.</t>
        </is>
      </c>
    </row>
    <row r="31" ht="90" customHeight="1" s="134">
      <c r="A31" s="149" t="n">
        <v>21</v>
      </c>
      <c r="B31" s="184" t="inlineStr">
        <is>
          <t>READY</t>
        </is>
      </c>
      <c r="C31" s="149" t="inlineStr">
        <is>
          <t>Google Ads</t>
        </is>
      </c>
      <c r="D31" s="151" t="inlineStr">
        <is>
          <t>ES (656-420-5389)</t>
        </is>
      </c>
      <c r="E31" s="151" t="inlineStr">
        <is>
          <t>3 No-recent-conversions ES conversions Primary + in goals: Formulario contacto - Enviar, YouTube channel subscriptions, YouTube follow-on views</t>
        </is>
      </c>
      <c r="F31" s="151" t="inlineStr">
        <is>
          <t>UNMARK from Primary + remove from account-level goals</t>
        </is>
      </c>
      <c r="G31" s="151" t="inlineStr">
        <is>
          <t>Same Tools &gt; Conversions location.</t>
        </is>
      </c>
      <c r="H31" s="151" t="inlineStr">
        <is>
          <t>Google Ads finding row 22</t>
        </is>
      </c>
      <c r="I31" s="151" t="inlineStr">
        <is>
          <t>Cleaner conversion goal layer</t>
        </is>
      </c>
      <c r="J31" s="246" t="inlineStr">
        <is>
          <t>THIS WEEK</t>
        </is>
      </c>
      <c r="K31" s="246" t="inlineStr">
        <is>
          <t>Adrian</t>
        </is>
      </c>
      <c r="L31" s="246" t="inlineStr">
        <is>
          <t>Not started</t>
        </is>
      </c>
      <c r="M31" s="151" t="inlineStr">
        <is>
          <t>None</t>
        </is>
      </c>
      <c r="N31" s="151" t="inlineStr">
        <is>
          <t>Conversions no longer flagged Primary. Removed from account-level goals. Google UI banner-warning disappears after 24h.</t>
        </is>
      </c>
    </row>
    <row r="32" ht="90" customHeight="1" s="134">
      <c r="A32" s="149" t="n">
        <v>22</v>
      </c>
      <c r="B32" s="184" t="inlineStr">
        <is>
          <t>READY</t>
        </is>
      </c>
      <c r="C32" s="149" t="inlineStr">
        <is>
          <t>Google Ads</t>
        </is>
      </c>
      <c r="D32" s="151" t="inlineStr">
        <is>
          <t>FR (720-427-387)</t>
        </is>
      </c>
      <c r="E32" s="151" t="inlineStr">
        <is>
          <t>4 Removed conversions still flagged "Included in account-level goals": Calls from Smart Campaign Ads, Android installs, Qualified lead Import from clicks, Closed Sale</t>
        </is>
      </c>
      <c r="F32" s="151" t="inlineStr">
        <is>
          <t>UNMARK from Primary + remove from account-level goals for all 4</t>
        </is>
      </c>
      <c r="G32" s="151" t="inlineStr">
        <is>
          <t>Tools &gt; Conversions. Filter Status = Removed. The 4 will show "Included in account-level goals = Yes" — flag.</t>
        </is>
      </c>
      <c r="H32" s="151" t="inlineStr">
        <is>
          <t>Google Ads finding row 21 (CRITICAL)</t>
        </is>
      </c>
      <c r="I32" s="151" t="inlineStr">
        <is>
          <t>Resolves Google UI warning "goal cannot be used for optimization"</t>
        </is>
      </c>
      <c r="J32" s="246" t="inlineStr">
        <is>
          <t>THIS WEEK</t>
        </is>
      </c>
      <c r="K32" s="246" t="inlineStr">
        <is>
          <t>Adrian</t>
        </is>
      </c>
      <c r="L32" s="246" t="inlineStr">
        <is>
          <t>Not started</t>
        </is>
      </c>
      <c r="M32" s="151" t="inlineStr">
        <is>
          <t>None</t>
        </is>
      </c>
      <c r="N32" s="151" t="inlineStr">
        <is>
          <t>Conversions no longer flagged Primary. Removed from account-level goals. Google UI banner-warning disappears after 24h.</t>
        </is>
      </c>
    </row>
    <row r="33" ht="90" customHeight="1" s="134">
      <c r="A33" s="149" t="n">
        <v>23</v>
      </c>
      <c r="B33" s="184" t="inlineStr">
        <is>
          <t>READY</t>
        </is>
      </c>
      <c r="C33" s="149" t="inlineStr">
        <is>
          <t>Google Ads</t>
        </is>
      </c>
      <c r="D33" s="151" t="inlineStr">
        <is>
          <t>FR (720-427-387)</t>
        </is>
      </c>
      <c r="E33" s="151" t="inlineStr">
        <is>
          <t>2 conversions literally named "(old)" — Easilys-Newsletter, Thank You</t>
        </is>
      </c>
      <c r="F33" s="151" t="inlineStr">
        <is>
          <t>ARCHIVE both "(old)" conversions</t>
        </is>
      </c>
      <c r="G33" s="151" t="inlineStr">
        <is>
          <t>Tools &gt; Conversions. Filter conversion names containing "(old)".</t>
        </is>
      </c>
      <c r="H33" s="151" t="inlineStr">
        <is>
          <t>Google Ads finding row 21</t>
        </is>
      </c>
      <c r="I33" s="151" t="inlineStr">
        <is>
          <t>Cleanup hygiene</t>
        </is>
      </c>
      <c r="J33" s="246" t="inlineStr">
        <is>
          <t>THIS WEEK</t>
        </is>
      </c>
      <c r="K33" s="246" t="inlineStr">
        <is>
          <t>Adrian</t>
        </is>
      </c>
      <c r="L33" s="246" t="inlineStr">
        <is>
          <t>Not started</t>
        </is>
      </c>
      <c r="M33" s="151" t="inlineStr">
        <is>
          <t>None</t>
        </is>
      </c>
      <c r="N33" s="151" t="inlineStr">
        <is>
          <t>Item shows Archived status. No longer in active inventory views.</t>
        </is>
      </c>
    </row>
    <row r="34" ht="90" customHeight="1" s="134">
      <c r="A34" s="149" t="n">
        <v>24</v>
      </c>
      <c r="B34" s="184" t="inlineStr">
        <is>
          <t>READY</t>
        </is>
      </c>
      <c r="C34" s="149" t="inlineStr">
        <is>
          <t>Google Ads</t>
        </is>
      </c>
      <c r="D34" s="151" t="inlineStr">
        <is>
          <t>FR (720-427-387)</t>
        </is>
      </c>
      <c r="E34" s="151" t="inlineStr">
        <is>
          <t>2 conversions named "...Workforce | ES" living on FR account (cross-account residue)</t>
        </is>
      </c>
      <c r="F34" s="151" t="inlineStr">
        <is>
          <t>INVESTIGATE then ARCHIVE the 2 ES-named conversions on FR account</t>
        </is>
      </c>
      <c r="G34" s="151" t="inlineStr">
        <is>
          <t>Confirm they are cross-account residue (not in active use on FR campaigns).</t>
        </is>
      </c>
      <c r="H34" s="151" t="inlineStr">
        <is>
          <t>Google Ads finding row 21</t>
        </is>
      </c>
      <c r="I34" s="151" t="inlineStr">
        <is>
          <t>Cleanup data hygiene</t>
        </is>
      </c>
      <c r="J34" s="246" t="inlineStr">
        <is>
          <t>THIS WEEK</t>
        </is>
      </c>
      <c r="K34" s="246" t="inlineStr">
        <is>
          <t>Adrian</t>
        </is>
      </c>
      <c r="L34" s="246" t="inlineStr">
        <is>
          <t>Not started</t>
        </is>
      </c>
      <c r="M34" s="151" t="inlineStr">
        <is>
          <t>None</t>
        </is>
      </c>
      <c r="N34" s="151" t="inlineStr">
        <is>
          <t>Item shows Archived status. No longer in active inventory views.</t>
        </is>
      </c>
    </row>
    <row r="35" ht="15.75" customHeight="1" s="134"/>
    <row r="36" ht="21.75" customHeight="1" s="134">
      <c r="A36" s="250" t="inlineStr">
        <is>
          <t>SECTION 4 — READY TO SHIP via Chrome (LinkedIn)</t>
        </is>
      </c>
    </row>
    <row r="37" ht="90" customHeight="1" s="134">
      <c r="A37" s="149" t="n">
        <v>25</v>
      </c>
      <c r="B37" s="184" t="inlineStr">
        <is>
          <t>READY</t>
        </is>
      </c>
      <c r="C37" s="149" t="inlineStr">
        <is>
          <t>LinkedIn</t>
        </is>
      </c>
      <c r="D37" s="151" t="inlineStr">
        <is>
          <t>EN (account 503519691)</t>
        </is>
      </c>
      <c r="E37" s="151" t="inlineStr">
        <is>
          <t>5 "Ignore - Not Use" Matched Audiences (modified 4/6/2025)</t>
        </is>
      </c>
      <c r="F37" s="151" t="inlineStr">
        <is>
          <t>After verifying not the ONLY audience on any active ad set: DECOUPLE from active ad sets, then ARCHIVE</t>
        </is>
      </c>
      <c r="G37" s="151" t="inlineStr">
        <is>
          <t>Audience Manager &gt; Matched Audiences. Filter to "Ignore - Not Use" named entries. Check ad set associations 1-3 each.</t>
        </is>
      </c>
      <c r="H37" s="151" t="inlineStr">
        <is>
          <t>LinkedIn finding 14 (LOW)</t>
        </is>
      </c>
      <c r="I37" s="151" t="inlineStr">
        <is>
          <t>Cleanup hygiene</t>
        </is>
      </c>
      <c r="J37" s="246" t="inlineStr">
        <is>
          <t>MID-JUNE</t>
        </is>
      </c>
      <c r="K37" s="246" t="inlineStr">
        <is>
          <t>Adrian</t>
        </is>
      </c>
      <c r="L37" s="246" t="inlineStr">
        <is>
          <t>Not started</t>
        </is>
      </c>
      <c r="M37" s="151" t="inlineStr">
        <is>
          <t>None</t>
        </is>
      </c>
      <c r="N37" s="151" t="inlineStr">
        <is>
          <t>Item shows Archived status. No longer in active inventory views.</t>
        </is>
      </c>
    </row>
    <row r="38" ht="90" customHeight="1" s="134">
      <c r="A38" s="149" t="n">
        <v>26</v>
      </c>
      <c r="B38" s="184" t="inlineStr">
        <is>
          <t>READY</t>
        </is>
      </c>
      <c r="C38" s="149" t="inlineStr">
        <is>
          <t>LinkedIn</t>
        </is>
      </c>
      <c r="D38" s="151" t="inlineStr">
        <is>
          <t>EN + ES (accounts 503519691, 508038339)</t>
        </is>
      </c>
      <c r="E38" s="151" t="inlineStr">
        <is>
          <t>3 orphan Lead Gen Form audiences from 2020-2021 (EN: PuP-Existing-Leads, PuP-All-Leadgen-EN. ES: PuP-All-Leadgen-ES)</t>
        </is>
      </c>
      <c r="F38" s="151" t="inlineStr">
        <is>
          <t>ARCHIVE all 3 orphan LGF audiences</t>
        </is>
      </c>
      <c r="G38" s="151" t="inlineStr">
        <is>
          <t>All have 0 ad sets attached. No active dependency.</t>
        </is>
      </c>
      <c r="H38" s="151" t="inlineStr">
        <is>
          <t>LinkedIn finding 21 (LOW)</t>
        </is>
      </c>
      <c r="I38" s="151" t="inlineStr">
        <is>
          <t>Cleanup hygiene</t>
        </is>
      </c>
      <c r="J38" s="246" t="inlineStr">
        <is>
          <t>MID-JUNE</t>
        </is>
      </c>
      <c r="K38" s="246" t="inlineStr">
        <is>
          <t>Adrian</t>
        </is>
      </c>
      <c r="L38" s="246" t="inlineStr">
        <is>
          <t>Not started</t>
        </is>
      </c>
      <c r="M38" s="151" t="inlineStr">
        <is>
          <t>None</t>
        </is>
      </c>
      <c r="N38" s="151" t="inlineStr">
        <is>
          <t>Item shows Archived status. No longer in active inventory views.</t>
        </is>
      </c>
    </row>
    <row r="39" ht="90" customHeight="1" s="134">
      <c r="A39" s="149" t="n">
        <v>27</v>
      </c>
      <c r="B39" s="184" t="inlineStr">
        <is>
          <t>READY</t>
        </is>
      </c>
      <c r="C39" s="149" t="inlineStr">
        <is>
          <t>LinkedIn</t>
        </is>
      </c>
      <c r="D39" s="151" t="inlineStr">
        <is>
          <t>FR (509320582)</t>
        </is>
      </c>
      <c r="E39" s="151" t="inlineStr">
        <is>
          <t>"Easilys Negatives FR" 250 KWs orphan list (NOTE: Microsoft, not Google — see action above)</t>
        </is>
      </c>
      <c r="F39" s="151" t="inlineStr">
        <is>
          <t>See Section 2 action above. This is the MICROSOFT list, not the Google one.</t>
        </is>
      </c>
      <c r="G39" s="151" t="inlineStr">
        <is>
          <t>Cross-reference: Google FR has a DIFFERENT "Easilys Negatives FR" 542 KWs / 26 campaigns ATTACHED. Make sure you action the Microsoft one, not Google.</t>
        </is>
      </c>
      <c r="H39" s="151" t="inlineStr">
        <is>
          <t>Cross-platform note</t>
        </is>
      </c>
      <c r="I39" s="151" t="inlineStr">
        <is>
          <t>Disambiguation</t>
        </is>
      </c>
      <c r="J39" s="246" t="inlineStr">
        <is>
          <t>N/A</t>
        </is>
      </c>
      <c r="K39" s="246" t="inlineStr">
        <is>
          <t>Adrian</t>
        </is>
      </c>
      <c r="L39" s="246" t="inlineStr">
        <is>
          <t>Not started</t>
        </is>
      </c>
      <c r="M39" s="151" t="inlineStr">
        <is>
          <t>None</t>
        </is>
      </c>
      <c r="N39" s="151" t="inlineStr">
        <is>
          <t>Action completed and verified in respective platform UI.</t>
        </is>
      </c>
    </row>
    <row r="40" ht="15.75" customHeight="1" s="134"/>
    <row r="41" ht="21.75" customHeight="1" s="134">
      <c r="A41" s="250" t="inlineStr">
        <is>
          <t>SECTION 5 — VERIFY IN CHROME FIRST (then act if confirmed)</t>
        </is>
      </c>
    </row>
    <row r="42" ht="90" customHeight="1" s="134">
      <c r="A42" s="149" t="n">
        <v>28</v>
      </c>
      <c r="B42" s="183" t="inlineStr">
        <is>
          <t>VERIFY</t>
        </is>
      </c>
      <c r="C42" s="149" t="inlineStr">
        <is>
          <t>Google Ads</t>
        </is>
      </c>
      <c r="D42" s="151" t="inlineStr">
        <is>
          <t>ES (656-420-5389)</t>
        </is>
      </c>
      <c r="E42" s="151" t="inlineStr">
        <is>
          <t>(GROW) Workforce-ES Search campaign — Monday audit found MOBILE 90% of budget / 0 conv vs DESKTOP €79 CPA</t>
        </is>
      </c>
      <c r="F42" s="151" t="inlineStr">
        <is>
          <t>BEFORE PAUSING MOBILE: open campaign &gt; Devices tab. Confirm Mobile spend ~€6,593/90d / 0 conv vs Desktop converting. If confirmed, set mobile bid adjustment to -100% (effectively pause mobile).</t>
        </is>
      </c>
      <c r="G42" s="151" t="inlineStr">
        <is>
          <t>Whole-campaign Workforce-ES is €7,305 / 1 conv per current Google Ads tab. The Mobile-only €6,593 / 0 conv split is Monday-audit data. Pull current mobile/desktop split in Chrome before pausing mobile.</t>
        </is>
      </c>
      <c r="H42" s="151" t="inlineStr">
        <is>
          <t>Budget Impact item 1 (HIGH)</t>
        </is>
      </c>
      <c r="I42" s="151" t="inlineStr">
        <is>
          <t>€6,593/90d if confirmed = ~€26,755/yr stopped. Realistic post-haircut ~€22,742/yr.</t>
        </is>
      </c>
      <c r="J42" s="246" t="inlineStr">
        <is>
          <t>THIS WEEK</t>
        </is>
      </c>
      <c r="K42" s="246" t="inlineStr">
        <is>
          <t>Adrian</t>
        </is>
      </c>
      <c r="L42" s="246" t="inlineStr">
        <is>
          <t>Not started</t>
        </is>
      </c>
      <c r="M42" s="151" t="inlineStr">
        <is>
          <t>None</t>
        </is>
      </c>
      <c r="N42" s="151" t="inlineStr">
        <is>
          <t>All 4 FR Workforce campaigns Status = Paused. Comment posted on each with audit rationale. Daily spend check shows €0 across these 4.</t>
        </is>
      </c>
    </row>
    <row r="43" ht="90" customHeight="1" s="134">
      <c r="A43" s="149" t="n">
        <v>29</v>
      </c>
      <c r="B43" s="183" t="inlineStr">
        <is>
          <t>VERIFY</t>
        </is>
      </c>
      <c r="C43" s="149" t="inlineStr">
        <is>
          <t>Google Ads</t>
        </is>
      </c>
      <c r="D43" s="151" t="inlineStr">
        <is>
          <t>FR (720-427-387)</t>
        </is>
      </c>
      <c r="E43" s="151" t="inlineStr">
        <is>
          <t>FR keyword waste cluster — €9,160 / 52 KWs Monday-audit figure not currently in Google Ads tab</t>
        </is>
      </c>
      <c r="F43" s="151" t="inlineStr">
        <is>
          <t>BEFORE CONSOLIDATING: pull keyword-level spend report in Chrome. Identify the 52 KWs accounting for €9,160. Build consolidated Easilys campaign + add to neg list.</t>
        </is>
      </c>
      <c r="G43" s="151" t="inlineStr">
        <is>
          <t>G2 confirmed 12 Easilys Scale variants exist. The €9,160 / 52 KWs is from Monday audit not re-verified. Need fresh export.</t>
        </is>
      </c>
      <c r="H43" s="151" t="inlineStr">
        <is>
          <t>Budget Impact item 2 (MEDIUM)</t>
        </is>
      </c>
      <c r="I43" s="151" t="inlineStr">
        <is>
          <t>€9,160/90d if confirmed = ~€37,160/yr. Post-haircut ~€20,438/yr.</t>
        </is>
      </c>
      <c r="J43" s="246" t="inlineStr">
        <is>
          <t>THIS WEEK</t>
        </is>
      </c>
      <c r="K43" s="246" t="inlineStr">
        <is>
          <t>Adrian</t>
        </is>
      </c>
      <c r="L43" s="246" t="inlineStr">
        <is>
          <t>Not started</t>
        </is>
      </c>
      <c r="M43" s="151" t="inlineStr">
        <is>
          <t>None</t>
        </is>
      </c>
      <c r="N43" s="151" t="inlineStr">
        <is>
          <t>Action completed and verified in respective platform UI.</t>
        </is>
      </c>
    </row>
    <row r="44" ht="90" customHeight="1" s="134">
      <c r="A44" s="149" t="n">
        <v>30</v>
      </c>
      <c r="B44" s="183" t="inlineStr">
        <is>
          <t>VERIFY</t>
        </is>
      </c>
      <c r="C44" s="149" t="inlineStr">
        <is>
          <t>Google Ads</t>
        </is>
      </c>
      <c r="D44" s="151" t="inlineStr">
        <is>
          <t>ES (656-420-5389)</t>
        </is>
      </c>
      <c r="E44" s="151" t="inlineStr">
        <is>
          <t>Spain Display 4 new 2026 launches — €3,156 / 1 conv Monday-audit figure</t>
        </is>
      </c>
      <c r="F44" s="151" t="inlineStr">
        <is>
          <t>BEFORE RE-EVALUATING: pull current spend + conv for the 4 new 2026 Display launches.</t>
        </is>
      </c>
      <c r="G44" s="151" t="inlineStr">
        <is>
          <t>Monday-audit data not directly captured in current Google Ads tab. May be partly attribution gap on new launches still in learning phase.</t>
        </is>
      </c>
      <c r="H44" s="151" t="inlineStr">
        <is>
          <t>Budget Impact item 4 (MEDIUM)</t>
        </is>
      </c>
      <c r="I44" s="151" t="inlineStr">
        <is>
          <t>€3,156/90d / 1 conv. If real waste = ~€12,806/yr.</t>
        </is>
      </c>
      <c r="J44" s="246" t="inlineStr">
        <is>
          <t>NEXT WEEK</t>
        </is>
      </c>
      <c r="K44" s="246" t="inlineStr">
        <is>
          <t>Adrian</t>
        </is>
      </c>
      <c r="L44" s="246" t="inlineStr">
        <is>
          <t>Not started</t>
        </is>
      </c>
      <c r="M44" s="151" t="inlineStr">
        <is>
          <t>None</t>
        </is>
      </c>
      <c r="N44" s="151" t="inlineStr">
        <is>
          <t>Action completed and verified in respective platform UI.</t>
        </is>
      </c>
    </row>
    <row r="45" ht="90" customHeight="1" s="134">
      <c r="A45" s="149" t="n">
        <v>31</v>
      </c>
      <c r="B45" s="183" t="inlineStr">
        <is>
          <t>VERIFY</t>
        </is>
      </c>
      <c r="C45" s="149" t="inlineStr">
        <is>
          <t>Google Ads</t>
        </is>
      </c>
      <c r="D45" s="151" t="inlineStr">
        <is>
          <t>UK (664-360-5314)</t>
        </is>
      </c>
      <c r="E45" s="151" t="inlineStr">
        <is>
          <t>(GROW) Mapal-Scale-keywords-New + (GROW) Mapal-Hospitality-software-New ad schedules</t>
        </is>
      </c>
      <c r="F45" s="151" t="inlineStr">
        <is>
          <t>CHECK current ad schedule on each. ADD restrictive schedule if currently 24/7.</t>
        </is>
      </c>
      <c r="G45" s="151" t="inlineStr">
        <is>
          <t>Action Plan #5 says "missing ad schedules" but Chrome verification needed to confirm current state.</t>
        </is>
      </c>
      <c r="H45" s="151" t="inlineStr">
        <is>
          <t>Action Plan #5 (MEDIUM)</t>
        </is>
      </c>
      <c r="I45" s="151" t="inlineStr">
        <is>
          <t>Hygiene + waste reduction</t>
        </is>
      </c>
      <c r="J45" s="246" t="inlineStr">
        <is>
          <t>THIS WEEK</t>
        </is>
      </c>
      <c r="K45" s="246" t="inlineStr">
        <is>
          <t>Adrian</t>
        </is>
      </c>
      <c r="L45" s="246" t="inlineStr">
        <is>
          <t>Not started</t>
        </is>
      </c>
      <c r="M45" s="151" t="inlineStr">
        <is>
          <t>None</t>
        </is>
      </c>
      <c r="N45" s="151" t="inlineStr">
        <is>
          <t>Action completed and verified in respective platform UI.</t>
        </is>
      </c>
    </row>
    <row r="46" ht="90" customHeight="1" s="134">
      <c r="A46" s="149" t="n">
        <v>32</v>
      </c>
      <c r="B46" s="251" t="inlineStr">
        <is>
          <t>DECISION</t>
        </is>
      </c>
      <c r="C46" s="149" t="inlineStr">
        <is>
          <t>LinkedIn</t>
        </is>
      </c>
      <c r="D46" s="151" t="inlineStr">
        <is>
          <t>EN (503519691)</t>
        </is>
      </c>
      <c r="E46" s="151" t="inlineStr">
        <is>
          <t>EN-QSR-FSR-ABM-Top-100 ad set (681102153) — currently ACTIVE $20/day</t>
        </is>
      </c>
      <c r="F46" s="151" t="inlineStr">
        <is>
          <t>CHOOSE: A) Pause now (~$7K/yr saved). B) Wait until Friday Zibi share for joint kill. C) Leave running.</t>
        </is>
      </c>
      <c r="G46" s="151" t="inlineStr">
        <is>
          <t>Manual bidding $20/landing page click, NOT on conversion. LinkedIn UI warning visible. Targeting UK+IE+CA+AU+US.</t>
        </is>
      </c>
      <c r="H46" s="151" t="inlineStr">
        <is>
          <t>LinkedIn finding 27</t>
        </is>
      </c>
      <c r="I46" s="151" t="inlineStr">
        <is>
          <t>A = $7K/yr saved. B = strategic optionality. C = waste continues.</t>
        </is>
      </c>
      <c r="J46" s="246" t="inlineStr">
        <is>
          <t>TODAY DECISION</t>
        </is>
      </c>
      <c r="K46" s="246" t="inlineStr">
        <is>
          <t>Adrian</t>
        </is>
      </c>
      <c r="L46" s="246" t="inlineStr">
        <is>
          <t>Not started</t>
        </is>
      </c>
      <c r="M46" s="151" t="inlineStr">
        <is>
          <t>None</t>
        </is>
      </c>
      <c r="N46" s="151" t="inlineStr">
        <is>
          <t>Adrian documents decision A/B/C with rationale in master sheet. Implements within 24h.</t>
        </is>
      </c>
    </row>
    <row r="47" ht="15.75" customHeight="1" s="134"/>
    <row r="48" ht="21.75" customHeight="1" s="134">
      <c r="A48" s="250" t="inlineStr">
        <is>
          <t>SECTION 6 — BLOCKED ON DEPENDENCY (action when blocker clears)</t>
        </is>
      </c>
    </row>
    <row r="49" ht="90" customHeight="1" s="134">
      <c r="A49" s="149" t="n">
        <v>33</v>
      </c>
      <c r="B49" s="252" t="inlineStr">
        <is>
          <t>BLOCKED</t>
        </is>
      </c>
      <c r="C49" s="149" t="inlineStr">
        <is>
          <t>Google Ads</t>
        </is>
      </c>
      <c r="D49" s="151" t="inlineStr">
        <is>
          <t>ES (656-420-5389)</t>
        </is>
      </c>
      <c r="E49" s="151" t="inlineStr">
        <is>
          <t>Workforce-ES Search bid strategy + 8 other ES campaigns on Max Clicks</t>
        </is>
      </c>
      <c r="F49" s="151" t="inlineStr">
        <is>
          <t>When the conversion-signal fix lands (ours and the website lead): switch from Maximize Clicks to Max Conversions or tCPA.</t>
        </is>
      </c>
      <c r="G49" s="151" t="inlineStr">
        <is>
          <t>Cannot act until tracking restored — tCPA needs reliable conversion signal.</t>
        </is>
      </c>
      <c r="H49" s="151" t="inlineStr">
        <is>
          <t>Google finding 19 (CRITICAL)</t>
        </is>
      </c>
      <c r="I49" s="151" t="inlineStr">
        <is>
          <t>~€22K/yr systemic Max Clicks waste. ROI improvement once switched.</t>
        </is>
      </c>
      <c r="J49" s="246" t="inlineStr">
        <is>
          <t>POST-TAG-FIX</t>
        </is>
      </c>
      <c r="K49" s="246" t="inlineStr">
        <is>
          <t>Adrian</t>
        </is>
      </c>
      <c r="L49" s="246" t="inlineStr">
        <is>
          <t>Not started</t>
        </is>
      </c>
      <c r="M49" s="151" t="inlineStr">
        <is>
          <t>Dependency in action description</t>
        </is>
      </c>
      <c r="N49" s="151" t="inlineStr">
        <is>
          <t>Dependency cleared. Action moves to READY then completes.</t>
        </is>
      </c>
    </row>
    <row r="50" ht="90" customHeight="1" s="134">
      <c r="A50" s="149" t="n">
        <v>34</v>
      </c>
      <c r="B50" s="252" t="inlineStr">
        <is>
          <t>BLOCKED</t>
        </is>
      </c>
      <c r="C50" s="149" t="inlineStr">
        <is>
          <t>Google Ads</t>
        </is>
      </c>
      <c r="D50" s="151" t="inlineStr">
        <is>
          <t>FR (720-427-387)</t>
        </is>
      </c>
      <c r="E50" s="151" t="inlineStr">
        <is>
          <t>Top 10 FR Easilys campaigns on Max Conversions (uncapped)</t>
        </is>
      </c>
      <c r="F50" s="151" t="inlineStr">
        <is>
          <t>When FR conversion goal cleanup completes: set realistic tCPA (€140-200) on Max Conv campaigns.</t>
        </is>
      </c>
      <c r="G50" s="151" t="inlineStr">
        <is>
          <t>7 of 10 currently returning 0 conv despite €11K spent. Smart Bidding cannot optimize when conversion definitions are broken.</t>
        </is>
      </c>
      <c r="H50" s="151" t="inlineStr">
        <is>
          <t>Google finding row 28 (HIGH)</t>
        </is>
      </c>
      <c r="I50" s="151" t="inlineStr">
        <is>
          <t>Smart Bidding recovery. Material CPA improvement.</t>
        </is>
      </c>
      <c r="J50" s="246" t="inlineStr">
        <is>
          <t>POST-CONV-CLEANUP</t>
        </is>
      </c>
      <c r="K50" s="246" t="inlineStr">
        <is>
          <t>Adrian</t>
        </is>
      </c>
      <c r="L50" s="246" t="inlineStr">
        <is>
          <t>Not started</t>
        </is>
      </c>
      <c r="M50" s="151" t="inlineStr">
        <is>
          <t>Dependency in action description</t>
        </is>
      </c>
      <c r="N50" s="151" t="inlineStr">
        <is>
          <t>Dependency cleared. Action moves to READY then completes.</t>
        </is>
      </c>
    </row>
    <row r="51" ht="90" customHeight="1" s="134">
      <c r="A51" s="149" t="n">
        <v>35</v>
      </c>
      <c r="B51" s="252" t="inlineStr">
        <is>
          <t>BLOCKED</t>
        </is>
      </c>
      <c r="C51" s="149" t="inlineStr">
        <is>
          <t>Google Ads</t>
        </is>
      </c>
      <c r="D51" s="151" t="inlineStr">
        <is>
          <t>UK (664-360-5314)</t>
        </is>
      </c>
      <c r="E51" s="151" t="inlineStr">
        <is>
          <t>(GROW) Flow-Hospitality Training-New + (GROW) Mapal-Hospitality software-New on Max Clicks</t>
        </is>
      </c>
      <c r="F51" s="151" t="inlineStr">
        <is>
          <t>When UK tracking confirmed reliable: switch to Max Conversions or tCPA.</t>
        </is>
      </c>
      <c r="G51" s="151" t="inlineStr">
        <is>
          <t>€5,600/90d at risk. Cannot judge real performance until conversion tracking trustworthy.</t>
        </is>
      </c>
      <c r="H51" s="151" t="inlineStr">
        <is>
          <t>Google finding row 29 (HIGH)</t>
        </is>
      </c>
      <c r="I51" s="151" t="inlineStr">
        <is>
          <t>~€22,700/yr at risk if pattern persists</t>
        </is>
      </c>
      <c r="J51" s="246" t="inlineStr">
        <is>
          <t>POST-TRACKING-FIX</t>
        </is>
      </c>
      <c r="K51" s="246" t="inlineStr">
        <is>
          <t>Adrian</t>
        </is>
      </c>
      <c r="L51" s="246" t="inlineStr">
        <is>
          <t>Not started</t>
        </is>
      </c>
      <c r="M51" s="151" t="inlineStr">
        <is>
          <t>Dependency in action description</t>
        </is>
      </c>
      <c r="N51" s="151" t="inlineStr">
        <is>
          <t>Dependency cleared. Action moves to READY then completes.</t>
        </is>
      </c>
    </row>
    <row r="52" ht="90" customHeight="1" s="134">
      <c r="A52" s="149" t="n">
        <v>36</v>
      </c>
      <c r="B52" s="252" t="inlineStr">
        <is>
          <t>BLOCKED</t>
        </is>
      </c>
      <c r="C52" s="149" t="inlineStr">
        <is>
          <t>Google Ads</t>
        </is>
      </c>
      <c r="D52" s="151" t="inlineStr">
        <is>
          <t>UK (664-360-5314)</t>
        </is>
      </c>
      <c r="E52" s="151" t="inlineStr">
        <is>
          <t>Mapal-Demo-Form-Submission conversion "Needs attention" status</t>
        </is>
      </c>
      <c r="F52" s="151" t="inlineStr">
        <is>
          <t>INVESTIGATE the Needs attention flag via GTM diagnostics. Confirm 20 reported conversions match HubSpot lead reality.</t>
        </is>
      </c>
      <c r="G52" s="151" t="inlineStr">
        <is>
          <t>Tag-level investigation. Cross-platform with HubSpot audit.</t>
        </is>
      </c>
      <c r="H52" s="151" t="inlineStr">
        <is>
          <t>Google finding row 23 (HIGH)</t>
        </is>
      </c>
      <c r="I52" s="151" t="inlineStr">
        <is>
          <t>Restored UK tracking confidence</t>
        </is>
      </c>
      <c r="J52" s="246" t="inlineStr">
        <is>
          <t>WED-THU</t>
        </is>
      </c>
      <c r="K52" s="246" t="inlineStr">
        <is>
          <t>Adrian</t>
        </is>
      </c>
      <c r="L52" s="246" t="inlineStr">
        <is>
          <t>Not started</t>
        </is>
      </c>
      <c r="M52" s="151" t="inlineStr">
        <is>
          <t>Dependency in action description</t>
        </is>
      </c>
      <c r="N52" s="151" t="inlineStr">
        <is>
          <t>Dependency cleared. Action moves to READY then completes.</t>
        </is>
      </c>
    </row>
    <row r="53" ht="90" customHeight="1" s="134">
      <c r="A53" s="149" t="n">
        <v>37</v>
      </c>
      <c r="B53" s="252" t="inlineStr">
        <is>
          <t>BLOCKED</t>
        </is>
      </c>
      <c r="C53" s="149" t="inlineStr">
        <is>
          <t>Microsoft</t>
        </is>
      </c>
      <c r="D53" s="151" t="inlineStr">
        <is>
          <t>EN-BING ADS (1457275)</t>
        </is>
      </c>
      <c r="E53" s="151" t="inlineStr">
        <is>
          <t>EN top wasted keywords: 5 keywords / 0 conv / €1,570 total (hospitality training, hospitality software, hotel management software, food safety compliance, restaurant software)</t>
        </is>
      </c>
      <c r="F53" s="151" t="inlineStr">
        <is>
          <t>DEFER decision until Lead MQL/SQL conversions restored. Review each KW vs SQL-rate over 30d before pausing.</t>
        </is>
      </c>
      <c r="G53" s="151" t="inlineStr">
        <is>
          <t>Cannot judge true performance with broken attribution.</t>
        </is>
      </c>
      <c r="H53" s="151" t="inlineStr">
        <is>
          <t>Microsoft finding 8 (HIGH)</t>
        </is>
      </c>
      <c r="I53" s="151" t="inlineStr">
        <is>
          <t>Awaiting tracking signal</t>
        </is>
      </c>
      <c r="J53" s="246" t="inlineStr">
        <is>
          <t>POST-TRACKING-FIX</t>
        </is>
      </c>
      <c r="K53" s="246" t="inlineStr">
        <is>
          <t>Adrian</t>
        </is>
      </c>
      <c r="L53" s="246" t="inlineStr">
        <is>
          <t>Not started</t>
        </is>
      </c>
      <c r="M53" s="151" t="inlineStr">
        <is>
          <t>Dependency in action description</t>
        </is>
      </c>
      <c r="N53" s="151" t="inlineStr">
        <is>
          <t>Adrian documents decision A/B/C with rationale in master sheet. Implements within 24h.</t>
        </is>
      </c>
    </row>
    <row r="54" ht="90" customHeight="1" s="134">
      <c r="A54" s="149" t="n">
        <v>38</v>
      </c>
      <c r="B54" s="252" t="inlineStr">
        <is>
          <t>BLOCKED</t>
        </is>
      </c>
      <c r="C54" s="149" t="inlineStr">
        <is>
          <t>Microsoft</t>
        </is>
      </c>
      <c r="D54" s="151" t="inlineStr">
        <is>
          <t>EN-BING ADS (1457275)</t>
        </is>
      </c>
      <c r="E54" s="151" t="inlineStr">
        <is>
          <t>EN Mapal bidding on competitor brand keywords (resdiary, cadence hospitality)</t>
        </is>
      </c>
      <c r="F54" s="151" t="inlineStr">
        <is>
          <t>DEFER until tracking restored. €94 / 0 conv.</t>
        </is>
      </c>
      <c r="G54" s="151" t="inlineStr">
        <is>
          <t>With broken tracking, 0 attributed conv could be either real OR attribution gap.</t>
        </is>
      </c>
      <c r="H54" s="151" t="inlineStr">
        <is>
          <t>Microsoft finding 9 (MEDIUM)</t>
        </is>
      </c>
      <c r="I54" s="151" t="inlineStr">
        <is>
          <t>Awaiting tracking signal</t>
        </is>
      </c>
      <c r="J54" s="246" t="inlineStr">
        <is>
          <t>POST-TRACKING-FIX</t>
        </is>
      </c>
      <c r="K54" s="246" t="inlineStr">
        <is>
          <t>Adrian</t>
        </is>
      </c>
      <c r="L54" s="246" t="inlineStr">
        <is>
          <t>Not started</t>
        </is>
      </c>
      <c r="M54" s="151" t="inlineStr">
        <is>
          <t>conversion-signal fix (ours and the website lead)</t>
        </is>
      </c>
      <c r="N54" s="151" t="inlineStr">
        <is>
          <t>Dependency cleared. Action moves to READY then completes.</t>
        </is>
      </c>
    </row>
    <row r="55" ht="90" customHeight="1" s="134">
      <c r="A55" s="149" t="n">
        <v>39</v>
      </c>
      <c r="B55" s="252" t="inlineStr">
        <is>
          <t>BLOCKED</t>
        </is>
      </c>
      <c r="C55" s="149" t="inlineStr">
        <is>
          <t>Microsoft</t>
        </is>
      </c>
      <c r="D55" s="151" t="inlineStr">
        <is>
          <t>EN-BING ADS (1457275)</t>
        </is>
      </c>
      <c r="E55" s="151" t="inlineStr">
        <is>
          <t>EN PMax (CORE) Mapal-EN + (CORE) Flow-EN — Target CPA €6 (unrealistic for hospitality SaaS)</t>
        </is>
      </c>
      <c r="F55" s="151" t="inlineStr">
        <is>
          <t>When EN campaigns reactivate alongside brand defence unpause: revise tCPA to realistic €140-200 for non-brand search, €15-30 for brand.</t>
        </is>
      </c>
      <c r="G55" s="151" t="inlineStr">
        <is>
          <t>€6 tCPA = LinkedIn refuses to spend = stuck.</t>
        </is>
      </c>
      <c r="H55" s="151" t="inlineStr">
        <is>
          <t>Microsoft finding 27 (MEDIUM)</t>
        </is>
      </c>
      <c r="I55" s="151" t="inlineStr">
        <is>
          <t>Spend can resume</t>
        </is>
      </c>
      <c r="J55" s="246" t="inlineStr">
        <is>
          <t>POST-UK-REACTIVATION</t>
        </is>
      </c>
      <c r="K55" s="246" t="inlineStr">
        <is>
          <t>Adrian</t>
        </is>
      </c>
      <c r="L55" s="246" t="inlineStr">
        <is>
          <t>Not started</t>
        </is>
      </c>
      <c r="M55" s="151" t="inlineStr">
        <is>
          <t>Dependency in action description</t>
        </is>
      </c>
      <c r="N55" s="151" t="inlineStr">
        <is>
          <t>Dependency cleared. Action moves to READY then completes.</t>
        </is>
      </c>
    </row>
    <row r="56" ht="90" customHeight="1" s="134">
      <c r="A56" s="149" t="n">
        <v>40</v>
      </c>
      <c r="B56" s="252" t="inlineStr">
        <is>
          <t>BLOCKED</t>
        </is>
      </c>
      <c r="C56" s="149" t="inlineStr">
        <is>
          <t>LinkedIn</t>
        </is>
      </c>
      <c r="D56" s="151" t="inlineStr">
        <is>
          <t>All 3</t>
        </is>
      </c>
      <c r="E56" s="151" t="inlineStr">
        <is>
          <t>Lead MQL / Lead SQL custom events absent (EN, ES) or Inactive (FR)</t>
        </is>
      </c>
      <c r="F56" s="151" t="inlineStr">
        <is>
          <t>Cross-channel investigation with Andy/RevOps to add Lead MQL/SQL as proper account-level conversions across all 3 LinkedIn accounts.</t>
        </is>
      </c>
      <c r="G56" s="151" t="inlineStr">
        <is>
          <t>HubSpot audit Session 5 will determine root cause (custom event firing volume in HubSpot Event Management).</t>
        </is>
      </c>
      <c r="H56" s="151" t="inlineStr">
        <is>
          <t>LinkedIn finding 29 (CRITICAL)</t>
        </is>
      </c>
      <c r="I56" s="151" t="inlineStr">
        <is>
          <t>Cross-channel attribution restoration</t>
        </is>
      </c>
      <c r="J56" s="246" t="inlineStr">
        <is>
          <t>POST-HUBSPOT-S5</t>
        </is>
      </c>
      <c r="K56" s="246" t="inlineStr">
        <is>
          <t>Adrian</t>
        </is>
      </c>
      <c r="L56" s="246" t="inlineStr">
        <is>
          <t>Not started</t>
        </is>
      </c>
      <c r="M56" s="151" t="inlineStr">
        <is>
          <t>Dependency in action description</t>
        </is>
      </c>
      <c r="N56" s="151" t="inlineStr">
        <is>
          <t>Dependency cleared. Action moves to READY then completes.</t>
        </is>
      </c>
    </row>
    <row r="57" ht="15.75" customHeight="1" s="134"/>
    <row r="58" ht="21.75" customHeight="1" s="134">
      <c r="A58" s="250" t="inlineStr">
        <is>
          <t>SECTION 7 — DEFERRED (scheduled later, not actioning now)</t>
        </is>
      </c>
    </row>
    <row r="59" ht="90" customHeight="1" s="134">
      <c r="A59" s="149" t="n">
        <v>41</v>
      </c>
      <c r="B59" s="253" t="inlineStr">
        <is>
          <t>DEFERRED</t>
        </is>
      </c>
      <c r="C59" s="149" t="inlineStr">
        <is>
          <t>LinkedIn</t>
        </is>
      </c>
      <c r="D59" s="151" t="inlineStr">
        <is>
          <t>ES (508038339)</t>
        </is>
      </c>
      <c r="E59" s="151" t="inlineStr">
        <is>
          <t>ES ABM ad set (ID 620007526, currently Paused). LANDING EBOOK Inactive conversion attached.</t>
        </is>
      </c>
      <c r="F59" s="151" t="inlineStr">
        <is>
          <t>WHEN ES ABM reactivates: remove LANDING EBOOK attachment OR reactivate the conversion.</t>
        </is>
      </c>
      <c r="G59" s="151" t="inlineStr">
        <is>
          <t>No live impact (ad set paused). Cleanup item.</t>
        </is>
      </c>
      <c r="H59" s="151" t="inlineStr">
        <is>
          <t>LinkedIn finding 28 (MEDIUM)</t>
        </is>
      </c>
      <c r="I59" s="151" t="inlineStr">
        <is>
          <t>Cleanup hygiene</t>
        </is>
      </c>
      <c r="J59" s="246" t="inlineStr">
        <is>
          <t>POST-REACTIVATION</t>
        </is>
      </c>
      <c r="K59" s="246" t="inlineStr">
        <is>
          <t>Adrian</t>
        </is>
      </c>
      <c r="L59" s="246" t="inlineStr">
        <is>
          <t>Not started</t>
        </is>
      </c>
      <c r="M59" s="151" t="inlineStr">
        <is>
          <t>None</t>
        </is>
      </c>
      <c r="N59" s="151" t="inlineStr">
        <is>
          <t>Action completed and verified in respective platform UI.</t>
        </is>
      </c>
    </row>
    <row r="60" ht="90" customHeight="1" s="134">
      <c r="A60" s="149" t="n">
        <v>42</v>
      </c>
      <c r="B60" s="253" t="inlineStr">
        <is>
          <t>DEFERRED</t>
        </is>
      </c>
      <c r="C60" s="149" t="inlineStr">
        <is>
          <t>LinkedIn</t>
        </is>
      </c>
      <c r="D60" s="151" t="inlineStr">
        <is>
          <t>ES (508038339)</t>
        </is>
      </c>
      <c r="E60" s="151" t="inlineStr">
        <is>
          <t>10+ matched audiences with "Last signal received: 5 years ago" (Feb 2021 vintage)</t>
        </is>
      </c>
      <c r="F60" s="151" t="inlineStr">
        <is>
          <t>ARCHIVE in cleanup pass. Verify no active dependencies first.</t>
        </is>
      </c>
      <c r="G60" s="151" t="inlineStr">
        <is>
          <t>PuP-*, Remarketing-LP-*, Site-Web-FR (in ES account), Easilys remarketing etc.</t>
        </is>
      </c>
      <c r="H60" s="151" t="inlineStr">
        <is>
          <t>LinkedIn finding 15 (LOW)</t>
        </is>
      </c>
      <c r="I60" s="151" t="inlineStr">
        <is>
          <t>Cleanup hygiene</t>
        </is>
      </c>
      <c r="J60" s="246" t="inlineStr">
        <is>
          <t>MID-JUNE</t>
        </is>
      </c>
      <c r="K60" s="246" t="inlineStr">
        <is>
          <t>Adrian</t>
        </is>
      </c>
      <c r="L60" s="246" t="inlineStr">
        <is>
          <t>Not started</t>
        </is>
      </c>
      <c r="M60" s="151" t="inlineStr">
        <is>
          <t>None</t>
        </is>
      </c>
      <c r="N60" s="151" t="inlineStr">
        <is>
          <t>Item shows Archived status. No longer in active inventory views.</t>
        </is>
      </c>
    </row>
    <row r="61" ht="90" customHeight="1" s="134">
      <c r="A61" s="149" t="n">
        <v>43</v>
      </c>
      <c r="B61" s="253" t="inlineStr">
        <is>
          <t>DEFERRED</t>
        </is>
      </c>
      <c r="C61" s="149" t="inlineStr">
        <is>
          <t>LinkedIn</t>
        </is>
      </c>
      <c r="D61" s="151" t="inlineStr">
        <is>
          <t>FR (509320582)</t>
        </is>
      </c>
      <c r="E61" s="151" t="inlineStr">
        <is>
          <t>FR forms graveyard: 12 dormant LGF forms (only Effica Opé v2 produces leads)</t>
        </is>
      </c>
      <c r="F61" s="151" t="inlineStr">
        <is>
          <t>ARCHIVE 12 dormant LGFs with 0 leads in cleanup pass.</t>
        </is>
      </c>
      <c r="G61" s="151" t="inlineStr">
        <is>
          <t>Worth investigating why 4 Demo forms with 20+ ad set associations produce 0 leads.</t>
        </is>
      </c>
      <c r="H61" s="151" t="inlineStr">
        <is>
          <t>LinkedIn finding 19 (MEDIUM)</t>
        </is>
      </c>
      <c r="I61" s="151" t="inlineStr">
        <is>
          <t>Cleanup hygiene</t>
        </is>
      </c>
      <c r="J61" s="246" t="inlineStr">
        <is>
          <t>MID-JUNE</t>
        </is>
      </c>
      <c r="K61" s="246" t="inlineStr">
        <is>
          <t>Adrian</t>
        </is>
      </c>
      <c r="L61" s="246" t="inlineStr">
        <is>
          <t>Not started</t>
        </is>
      </c>
      <c r="M61" s="151" t="inlineStr">
        <is>
          <t>None</t>
        </is>
      </c>
      <c r="N61" s="151" t="inlineStr">
        <is>
          <t>Item shows Archived status. No longer in active inventory views.</t>
        </is>
      </c>
    </row>
    <row r="62" ht="90" customHeight="1" s="134">
      <c r="A62" s="149" t="n">
        <v>44</v>
      </c>
      <c r="B62" s="253" t="inlineStr">
        <is>
          <t>DEFERRED</t>
        </is>
      </c>
      <c r="C62" s="149" t="inlineStr">
        <is>
          <t>Google Ads</t>
        </is>
      </c>
      <c r="D62" s="151" t="inlineStr">
        <is>
          <t>UK (664-360-5314)</t>
        </is>
      </c>
      <c r="E62" s="151" t="inlineStr">
        <is>
          <t>Shared Library: 7 orphan items (3 placement exclusion lists with 68,951 placements unused, 2 brand lists orphan, 1 shared budget, 1 portfolio bid strategy)</t>
        </is>
      </c>
      <c r="F62" s="151" t="inlineStr">
        <is>
          <t>AUDIT then archive. Investigate Fourth brand list INCLUSION configuration (1 campaign — intentional or misconfig?).</t>
        </is>
      </c>
      <c r="G62" s="151" t="inlineStr">
        <is>
          <t>Plus Shared Flow Budget + Shared Mapal Budget have €0 spend despite 2 campaigns each attached — investigate.</t>
        </is>
      </c>
      <c r="H62" s="151" t="inlineStr">
        <is>
          <t>Google finding row 24 (MEDIUM)</t>
        </is>
      </c>
      <c r="I62" s="151" t="inlineStr">
        <is>
          <t>Cleanup hygiene</t>
        </is>
      </c>
      <c r="J62" s="246" t="inlineStr">
        <is>
          <t>MID-JUNE</t>
        </is>
      </c>
      <c r="K62" s="246" t="inlineStr">
        <is>
          <t>Adrian</t>
        </is>
      </c>
      <c r="L62" s="246" t="inlineStr">
        <is>
          <t>Not started</t>
        </is>
      </c>
      <c r="M62" s="151" t="inlineStr">
        <is>
          <t>None</t>
        </is>
      </c>
      <c r="N62" s="151" t="inlineStr">
        <is>
          <t>Item shows Archived status. No longer in active inventory views.</t>
        </is>
      </c>
    </row>
    <row r="63" ht="90" customHeight="1" s="134">
      <c r="A63" s="149" t="n">
        <v>45</v>
      </c>
      <c r="B63" s="253" t="inlineStr">
        <is>
          <t>DEFERRED</t>
        </is>
      </c>
      <c r="C63" s="149" t="inlineStr">
        <is>
          <t>Google Ads</t>
        </is>
      </c>
      <c r="D63" s="151" t="inlineStr">
        <is>
          <t>ES (656-420-5389)</t>
        </is>
      </c>
      <c r="E63" s="151" t="inlineStr">
        <is>
          <t>Shared Library: 7 orphan items including Workforce remarketing audience BUILT BUT UNUSED on flagship Workforce market</t>
        </is>
      </c>
      <c r="F63" s="151" t="inlineStr">
        <is>
          <t>ATTACH Workforce remarketing audience to Workforce-ES campaigns where appropriate. Archive other orphans.</t>
        </is>
      </c>
      <c r="G63" s="151" t="inlineStr">
        <is>
          <t>Could improve Workforce-ES vs the no-targeting Max Clicks waste.</t>
        </is>
      </c>
      <c r="H63" s="151" t="inlineStr">
        <is>
          <t>Google finding row 25 (MEDIUM)</t>
        </is>
      </c>
      <c r="I63" s="151" t="inlineStr">
        <is>
          <t>Possible Workforce-ES performance lift</t>
        </is>
      </c>
      <c r="J63" s="246" t="inlineStr">
        <is>
          <t>POST-TRACKING</t>
        </is>
      </c>
      <c r="K63" s="246" t="inlineStr">
        <is>
          <t>Adrian</t>
        </is>
      </c>
      <c r="L63" s="246" t="inlineStr">
        <is>
          <t>Not started</t>
        </is>
      </c>
      <c r="M63" s="151" t="inlineStr">
        <is>
          <t>None</t>
        </is>
      </c>
      <c r="N63" s="151" t="inlineStr">
        <is>
          <t>Item shows Archived status. No longer in active inventory views.</t>
        </is>
      </c>
    </row>
    <row r="64" ht="90" customHeight="1" s="134">
      <c r="A64" s="149" t="n">
        <v>46</v>
      </c>
      <c r="B64" s="253" t="inlineStr">
        <is>
          <t>DEFERRED</t>
        </is>
      </c>
      <c r="C64" s="149" t="inlineStr">
        <is>
          <t>Google Ads</t>
        </is>
      </c>
      <c r="D64" s="151" t="inlineStr">
        <is>
          <t>ES (656-420-5389)</t>
        </is>
      </c>
      <c r="E64" s="151" t="inlineStr">
        <is>
          <t>ES has 0 placement exclusion lists despite 4 active Display campaigns</t>
        </is>
      </c>
      <c r="F64" s="151" t="inlineStr">
        <is>
          <t>BUILD ES placement exclusion lists. Could import from FR account (69K exclusions there) if relevant overlap.</t>
        </is>
      </c>
      <c r="G64" s="151" t="inlineStr">
        <is>
          <t>Compare FR which has 3 lists.</t>
        </is>
      </c>
      <c r="H64" s="151" t="inlineStr">
        <is>
          <t>Google finding row 27 (MEDIUM)</t>
        </is>
      </c>
      <c r="I64" s="151" t="inlineStr">
        <is>
          <t>Display waste reduction</t>
        </is>
      </c>
      <c r="J64" s="246" t="inlineStr">
        <is>
          <t>MID-JUNE</t>
        </is>
      </c>
      <c r="K64" s="246" t="inlineStr">
        <is>
          <t>Adrian</t>
        </is>
      </c>
      <c r="L64" s="246" t="inlineStr">
        <is>
          <t>Not started</t>
        </is>
      </c>
      <c r="M64" s="151" t="inlineStr">
        <is>
          <t>None</t>
        </is>
      </c>
      <c r="N64" s="151" t="inlineStr">
        <is>
          <t>Action completed and verified in respective platform UI.</t>
        </is>
      </c>
    </row>
    <row r="65" ht="90" customHeight="1" s="134">
      <c r="A65" s="149" t="n">
        <v>47</v>
      </c>
      <c r="B65" s="253" t="inlineStr">
        <is>
          <t>DEFERRED</t>
        </is>
      </c>
      <c r="C65" s="149" t="inlineStr">
        <is>
          <t>Google Ads</t>
        </is>
      </c>
      <c r="D65" s="151" t="inlineStr">
        <is>
          <t>FR (720-427-387)</t>
        </is>
      </c>
      <c r="E65" s="151" t="inlineStr">
        <is>
          <t>FR Placement Exclusion Lists: 3 lists attached to only 4 campaigns each (FR has 29+ campaigns)</t>
        </is>
      </c>
      <c r="F65" s="151" t="inlineStr">
        <is>
          <t>IDENTIFY which 4 campaigns each list serves. Attach to all eligible PMax + Display.</t>
        </is>
      </c>
      <c r="G65" s="151" t="inlineStr">
        <is>
          <t>Most Display/YouTube campaigns currently running without placement exclusions.</t>
        </is>
      </c>
      <c r="H65" s="151" t="inlineStr">
        <is>
          <t>Google finding row 11 (MEDIUM)</t>
        </is>
      </c>
      <c r="I65" s="151" t="inlineStr">
        <is>
          <t>Waste reduction</t>
        </is>
      </c>
      <c r="J65" s="246" t="inlineStr">
        <is>
          <t>MID-JUNE</t>
        </is>
      </c>
      <c r="K65" s="246" t="inlineStr">
        <is>
          <t>Adrian</t>
        </is>
      </c>
      <c r="L65" s="246" t="inlineStr">
        <is>
          <t>Not started</t>
        </is>
      </c>
      <c r="M65" s="151" t="inlineStr">
        <is>
          <t>None</t>
        </is>
      </c>
      <c r="N65" s="151" t="inlineStr">
        <is>
          <t>Action completed and verified in respective platform UI.</t>
        </is>
      </c>
    </row>
    <row r="66" ht="90" customHeight="1" s="134">
      <c r="A66" s="149" t="n">
        <v>48</v>
      </c>
      <c r="B66" s="253" t="inlineStr">
        <is>
          <t>DEFERRED</t>
        </is>
      </c>
      <c r="C66" s="149" t="inlineStr">
        <is>
          <t>Microsoft</t>
        </is>
      </c>
      <c r="D66" s="151" t="inlineStr">
        <is>
          <t>EN-BING ADS (1457275)</t>
        </is>
      </c>
      <c r="E66" s="151" t="inlineStr">
        <is>
          <t>EN 134 audience associations (auto-attached In-market audiences on paused campaigns)</t>
        </is>
      </c>
      <c r="F66" s="151" t="inlineStr">
        <is>
          <t>CLEANUP when EN campaigns reactivated. Decouple auto-attached audiences, keep intentional ones.</t>
        </is>
      </c>
      <c r="G66" s="151" t="inlineStr">
        <is>
          <t>Not active waste (campaigns paused).</t>
        </is>
      </c>
      <c r="H66" s="151" t="inlineStr">
        <is>
          <t>Microsoft finding 13 (MEDIUM)</t>
        </is>
      </c>
      <c r="I66" s="151" t="inlineStr">
        <is>
          <t>Cleanup hygiene</t>
        </is>
      </c>
      <c r="J66" s="246" t="inlineStr">
        <is>
          <t>POST-EN-REACTIVATION</t>
        </is>
      </c>
      <c r="K66" s="246" t="inlineStr">
        <is>
          <t>Adrian</t>
        </is>
      </c>
      <c r="L66" s="246" t="inlineStr">
        <is>
          <t>Not started</t>
        </is>
      </c>
      <c r="M66" s="151" t="inlineStr">
        <is>
          <t>None</t>
        </is>
      </c>
      <c r="N66" s="151" t="inlineStr">
        <is>
          <t>Action completed and verified in respective platform UI.</t>
        </is>
      </c>
    </row>
    <row r="67" ht="90" customHeight="1" s="134">
      <c r="A67" s="149" t="n">
        <v>49</v>
      </c>
      <c r="B67" s="253" t="inlineStr">
        <is>
          <t>DEFERRED</t>
        </is>
      </c>
      <c r="C67" s="149" t="inlineStr">
        <is>
          <t>Microsoft</t>
        </is>
      </c>
      <c r="D67" s="151" t="inlineStr">
        <is>
          <t>EN-BING ADS (1457275)</t>
        </is>
      </c>
      <c r="E67" s="151" t="inlineStr">
        <is>
          <t>(GROW) YouTube - EN misclassified Audience campaign</t>
        </is>
      </c>
      <c r="F67" s="151" t="inlineStr">
        <is>
          <t>RENAME for clarity when EN campaigns reviewed for unpause. Confirm Microsoft Audience Network targeting.</t>
        </is>
      </c>
      <c r="G67" s="151" t="inlineStr">
        <is>
          <t>Paused, no live impact.</t>
        </is>
      </c>
      <c r="H67" s="151" t="inlineStr">
        <is>
          <t>Microsoft finding 14 (LOW)</t>
        </is>
      </c>
      <c r="I67" s="151" t="inlineStr">
        <is>
          <t>Cleanup hygiene</t>
        </is>
      </c>
      <c r="J67" s="246" t="inlineStr">
        <is>
          <t>POST-EN-REACTIVATION</t>
        </is>
      </c>
      <c r="K67" s="246" t="inlineStr">
        <is>
          <t>Adrian</t>
        </is>
      </c>
      <c r="L67" s="246" t="inlineStr">
        <is>
          <t>Not started</t>
        </is>
      </c>
      <c r="M67" s="151" t="inlineStr">
        <is>
          <t>None</t>
        </is>
      </c>
      <c r="N67" s="151" t="inlineStr">
        <is>
          <t>Action completed and verified in respective platform UI.</t>
        </is>
      </c>
    </row>
    <row r="68" ht="90" customHeight="1" s="134">
      <c r="A68" s="149" t="n">
        <v>50</v>
      </c>
      <c r="B68" s="253" t="inlineStr">
        <is>
          <t>DEFERRED</t>
        </is>
      </c>
      <c r="C68" s="149" t="inlineStr">
        <is>
          <t>Microsoft</t>
        </is>
      </c>
      <c r="D68" s="151" t="inlineStr">
        <is>
          <t>ES (no account exists)</t>
        </is>
      </c>
      <c r="E68" s="151" t="inlineStr">
        <is>
          <t>No ES/Spain Microsoft Ads account exists</t>
        </is>
      </c>
      <c r="F68" s="151" t="inlineStr">
        <is>
          <t>CONSIDER opening ES Microsoft account in Q3 if Workforce-ES Google waste reallocation creates budget.</t>
        </is>
      </c>
      <c r="G68" s="151" t="inlineStr">
        <is>
          <t>Bing share in Spain ~3-4% — lower priority than UK.</t>
        </is>
      </c>
      <c r="H68" s="151" t="inlineStr">
        <is>
          <t>Microsoft finding 11 (MEDIUM)</t>
        </is>
      </c>
      <c r="I68" s="151" t="inlineStr">
        <is>
          <t>Q3 consideration</t>
        </is>
      </c>
      <c r="J68" s="246" t="inlineStr">
        <is>
          <t>Q3</t>
        </is>
      </c>
      <c r="K68" s="246" t="inlineStr">
        <is>
          <t>Adrian</t>
        </is>
      </c>
      <c r="L68" s="246" t="inlineStr">
        <is>
          <t>Not started</t>
        </is>
      </c>
      <c r="M68" s="151" t="inlineStr">
        <is>
          <t>None</t>
        </is>
      </c>
      <c r="N68" s="151" t="inlineStr">
        <is>
          <t>Action completed and verified in respective platform UI.</t>
        </is>
      </c>
    </row>
    <row r="69" ht="90" customHeight="1" s="134">
      <c r="A69" s="149" t="n">
        <v>51</v>
      </c>
      <c r="B69" s="253" t="inlineStr">
        <is>
          <t>DEFERRED</t>
        </is>
      </c>
      <c r="C69" s="149" t="inlineStr">
        <is>
          <t>Microsoft</t>
        </is>
      </c>
      <c r="D69" s="151" t="inlineStr">
        <is>
          <t>EN-BING ADS (1457275)</t>
        </is>
      </c>
      <c r="E69" s="151" t="inlineStr">
        <is>
          <t>EN account paused — confirm WHEN and WHY paused</t>
        </is>
      </c>
      <c r="F69" s="151" t="inlineStr">
        <is>
          <t>1-LINE CHECK with Zibi/Lukas: when was EN-BING paused and why?</t>
        </is>
      </c>
      <c r="G69" s="151" t="inlineStr">
        <is>
          <t>Could be contractor termination, could be earlier.</t>
        </is>
      </c>
      <c r="H69" s="151" t="inlineStr">
        <is>
          <t>Microsoft finding 17 (MEDIUM)</t>
        </is>
      </c>
      <c r="I69" s="151" t="inlineStr">
        <is>
          <t>Confirms unpause-as-is decision calculus</t>
        </is>
      </c>
      <c r="J69" s="246" t="inlineStr">
        <is>
          <t>THIS WEEK</t>
        </is>
      </c>
      <c r="K69" s="246" t="inlineStr">
        <is>
          <t>Adrian</t>
        </is>
      </c>
      <c r="L69" s="246" t="inlineStr">
        <is>
          <t>Not started</t>
        </is>
      </c>
      <c r="M69" s="151" t="inlineStr">
        <is>
          <t>None</t>
        </is>
      </c>
      <c r="N69" s="151" t="inlineStr">
        <is>
          <t>Action completed and verified in respective platform UI.</t>
        </is>
      </c>
    </row>
    <row r="70" ht="15.75" customHeight="1" s="134"/>
    <row r="71" ht="21.75" customHeight="1" s="134">
      <c r="A71" s="250" t="inlineStr">
        <is>
          <t>SECTION 8 — REPLICATION + MID-JUNE+ (longer-horizon strategy work)</t>
        </is>
      </c>
    </row>
    <row r="72" ht="90" customHeight="1" s="134">
      <c r="A72" s="149" t="n">
        <v>52</v>
      </c>
      <c r="B72" s="253" t="inlineStr">
        <is>
          <t>DEFERRED</t>
        </is>
      </c>
      <c r="C72" s="149" t="inlineStr">
        <is>
          <t>LinkedIn</t>
        </is>
      </c>
      <c r="D72" s="151" t="inlineStr">
        <is>
          <t>EN + ES (build new campaigns)</t>
        </is>
      </c>
      <c r="E72" s="151" t="inlineStr">
        <is>
          <t>Lead Gen Form replication of FR Fab Lead Form playbook</t>
        </is>
      </c>
      <c r="F72" s="151" t="inlineStr">
        <is>
          <t>BUILD broad-audience Lead Gen Form campaigns on EN (UK Flow) and ES (Workforce). Use Effica Opé v2 form structure as template.</t>
        </is>
      </c>
      <c r="G72" s="151" t="inlineStr">
        <is>
          <t>FR Fab Lead Form: 21 leads to date, 5 required fields, French labels. Proven controlled experiment vs narrow Top-100 (0 leads).</t>
        </is>
      </c>
      <c r="H72" s="151" t="inlineStr">
        <is>
          <t>LinkedIn findings 3 + 18 (CRITICAL/INSIGHT)</t>
        </is>
      </c>
      <c r="I72" s="151" t="inlineStr">
        <is>
          <t>20-40 leads/yr per market estimated. CPL &lt;€200 target.</t>
        </is>
      </c>
      <c r="J72" s="246" t="inlineStr">
        <is>
          <t>MID-JUNE</t>
        </is>
      </c>
      <c r="K72" s="246" t="inlineStr">
        <is>
          <t>Adrian</t>
        </is>
      </c>
      <c r="L72" s="246" t="inlineStr">
        <is>
          <t>Not started</t>
        </is>
      </c>
      <c r="M72" s="151" t="inlineStr">
        <is>
          <t>None</t>
        </is>
      </c>
      <c r="N72" s="151" t="inlineStr">
        <is>
          <t>Action completed and verified in respective platform UI.</t>
        </is>
      </c>
    </row>
    <row r="73" ht="90" customHeight="1" s="134">
      <c r="A73" s="149" t="n">
        <v>53</v>
      </c>
      <c r="B73" s="253" t="inlineStr">
        <is>
          <t>DEFERRED</t>
        </is>
      </c>
      <c r="C73" s="149" t="inlineStr">
        <is>
          <t>LinkedIn + Google</t>
        </is>
      </c>
      <c r="D73" s="151" t="inlineStr">
        <is>
          <t>UK</t>
        </is>
      </c>
      <c r="E73" s="151" t="inlineStr">
        <is>
          <t>UK A/B video test (rescued in ABM Triage) — broader UK Flow ICP audience</t>
        </is>
      </c>
      <c r="F73" s="151" t="inlineStr">
        <is>
          <t>LAUNCH with broader audience (not narrow Top-100). 4 video ads QHotels 13.5h→5h hook ready.</t>
        </is>
      </c>
      <c r="G73" s="151" t="inlineStr">
        <is>
          <t>Already approved and rescoped in ABM Triage. Due 5 June.</t>
        </is>
      </c>
      <c r="H73" s="151" t="inlineStr">
        <is>
          <t>ABM Triage row 1</t>
        </is>
      </c>
      <c r="I73" s="151" t="inlineStr">
        <is>
          <t>UK Flow lead generation</t>
        </is>
      </c>
      <c r="J73" s="246" t="inlineStr">
        <is>
          <t>5 JUNE</t>
        </is>
      </c>
      <c r="K73" s="246" t="inlineStr">
        <is>
          <t>Adrian</t>
        </is>
      </c>
      <c r="L73" s="246" t="inlineStr">
        <is>
          <t>Not started</t>
        </is>
      </c>
      <c r="M73" s="151" t="inlineStr">
        <is>
          <t>None</t>
        </is>
      </c>
      <c r="N73" s="151" t="inlineStr">
        <is>
          <t>Action completed and verified in respective platform UI.</t>
        </is>
      </c>
    </row>
    <row r="74" ht="90" customHeight="1" s="134">
      <c r="A74" s="149" t="n">
        <v>54</v>
      </c>
      <c r="B74" s="253" t="inlineStr">
        <is>
          <t>DEFERRED</t>
        </is>
      </c>
      <c r="C74" s="149" t="inlineStr">
        <is>
          <t>LinkedIn</t>
        </is>
      </c>
      <c r="D74" s="151" t="inlineStr">
        <is>
          <t>FR</t>
        </is>
      </c>
      <c r="E74" s="151" t="inlineStr">
        <is>
          <t>FR Easilys video campaign (rescued + consolidated from 3 Plays)</t>
        </is>
      </c>
      <c r="F74" s="151" t="inlineStr">
        <is>
          <t>LAUNCH with broader FR Easilys ICP audience (1.28M FR TOP 100 Accounts v2 matched audience).</t>
        </is>
      </c>
      <c r="G74" s="151" t="inlineStr">
        <is>
          <t>ABM Triage rescued + consolidated. Plays 1+2+3 creatives become A/B variants. Budget €600-900/mo.</t>
        </is>
      </c>
      <c r="H74" s="151" t="inlineStr">
        <is>
          <t>ABM Triage row 3</t>
        </is>
      </c>
      <c r="I74" s="151" t="inlineStr">
        <is>
          <t>FR Easilys lead generation</t>
        </is>
      </c>
      <c r="J74" s="246" t="inlineStr">
        <is>
          <t>MID-JUNE</t>
        </is>
      </c>
      <c r="K74" s="246" t="inlineStr">
        <is>
          <t>Adrian</t>
        </is>
      </c>
      <c r="L74" s="246" t="inlineStr">
        <is>
          <t>Not started</t>
        </is>
      </c>
      <c r="M74" s="151" t="inlineStr">
        <is>
          <t>None</t>
        </is>
      </c>
      <c r="N74" s="151" t="inlineStr">
        <is>
          <t>Action completed and verified in respective platform UI.</t>
        </is>
      </c>
    </row>
    <row r="75" ht="90" customHeight="1" s="134">
      <c r="A75" s="149" t="n">
        <v>55</v>
      </c>
      <c r="B75" s="253" t="inlineStr">
        <is>
          <t>DEFERRED</t>
        </is>
      </c>
      <c r="C75" s="149" t="inlineStr">
        <is>
          <t>Microsoft</t>
        </is>
      </c>
      <c r="D75" s="151" t="inlineStr">
        <is>
          <t>EN-BING ADS (1457275)</t>
        </is>
      </c>
      <c r="E75" s="151" t="inlineStr">
        <is>
          <t>EN account REACTIVATION alongside Google UK brand defence unpause</t>
        </is>
      </c>
      <c r="F75" s="151" t="inlineStr">
        <is>
          <t>BUILD shared neg KW library for UK Microsoft. Mirror approach to Google UK. Set realistic tCPA values.</t>
        </is>
      </c>
      <c r="G75" s="151" t="inlineStr">
        <is>
          <t>Currently 0 neg KW lists on EN-BING.</t>
        </is>
      </c>
      <c r="H75" s="151" t="inlineStr">
        <is>
          <t>Microsoft findings 1 + 21</t>
        </is>
      </c>
      <c r="I75" s="151" t="inlineStr">
        <is>
          <t>UK Bing brand defence captures 5-10% UK search volume</t>
        </is>
      </c>
      <c r="J75" s="246" t="inlineStr">
        <is>
          <t>POST-UK-GOOGLE-UNPAUSE</t>
        </is>
      </c>
      <c r="K75" s="246" t="inlineStr">
        <is>
          <t>Adrian</t>
        </is>
      </c>
      <c r="L75" s="246" t="inlineStr">
        <is>
          <t>Not started</t>
        </is>
      </c>
      <c r="M75" s="151" t="inlineStr">
        <is>
          <t>None</t>
        </is>
      </c>
      <c r="N75" s="151" t="inlineStr">
        <is>
          <t>Action completed and verified in respective platform UI.</t>
        </is>
      </c>
    </row>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mergeCells count="10">
    <mergeCell ref="A36:J36"/>
    <mergeCell ref="A2:E2"/>
    <mergeCell ref="A6:J6"/>
    <mergeCell ref="A58:J58"/>
    <mergeCell ref="A48:J48"/>
    <mergeCell ref="A26:J26"/>
    <mergeCell ref="A16:J16"/>
    <mergeCell ref="A41:J41"/>
    <mergeCell ref="A71:J71"/>
    <mergeCell ref="A3:E3"/>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4.43359375" defaultRowHeight="15" zeroHeight="0" outlineLevelRow="0"/>
  <cols>
    <col width="4" customWidth="1" style="133" min="1" max="1"/>
    <col width="75" customWidth="1" style="133" min="2" max="2"/>
    <col width="18" customWidth="1" style="133" min="3" max="3"/>
    <col width="11" customWidth="1" style="133" min="4" max="4"/>
    <col width="22" customWidth="1" style="133" min="5" max="5"/>
    <col width="8.710000000000001" customWidth="1" style="133" min="6" max="26"/>
  </cols>
  <sheetData>
    <row r="1" ht="15" customHeight="1" s="134">
      <c r="A1" s="148" t="inlineStr">
        <is>
          <t>#</t>
        </is>
      </c>
      <c r="B1" s="148" t="inlineStr">
        <is>
          <t>Question</t>
        </is>
      </c>
      <c r="C1" s="148" t="inlineStr">
        <is>
          <t>For</t>
        </is>
      </c>
      <c r="D1" s="148" t="inlineStr">
        <is>
          <t>Priority</t>
        </is>
      </c>
      <c r="E1" s="148" t="inlineStr">
        <is>
          <t>Status</t>
        </is>
      </c>
    </row>
    <row r="2" ht="34.5" customHeight="1" s="134">
      <c r="A2" s="169" t="n">
        <v>1</v>
      </c>
      <c r="B2" s="151" t="inlineStr">
        <is>
          <t>FR ABM €828 reconciliation: was that Play-1 lifetime OR Play-1 + Crossvertical-Mapal-Studio sets?</t>
        </is>
      </c>
      <c r="C2" s="149" t="inlineStr">
        <is>
          <t>Zibi</t>
        </is>
      </c>
      <c r="D2" s="245" t="inlineStr">
        <is>
          <t>LOW</t>
        </is>
      </c>
      <c r="E2" s="149" t="inlineStr">
        <is>
          <t>1-line ask Friday</t>
        </is>
      </c>
    </row>
    <row r="3" ht="34.5" customHeight="1" s="134">
      <c r="A3" s="169" t="n">
        <v>2</v>
      </c>
      <c r="B3" s="151" t="inlineStr">
        <is>
          <t>ES/MX Top 100 LinkedIn campaigns in scope of ABM kill, or just FR?</t>
        </is>
      </c>
      <c r="C3" s="149" t="inlineStr">
        <is>
          <t>Zibi</t>
        </is>
      </c>
      <c r="D3" s="242" t="inlineStr">
        <is>
          <t>MEDIUM</t>
        </is>
      </c>
      <c r="E3" s="149" t="inlineStr">
        <is>
          <t>Confirm Friday</t>
        </is>
      </c>
    </row>
    <row r="4" ht="34.5" customHeight="1" s="134">
      <c r="A4" s="169" t="n">
        <v>3</v>
      </c>
      <c r="B4" s="151" t="inlineStr">
        <is>
          <t>FR Easilys Lead Gen Form: what offer, form fields, post-submission flow? (for EN/ES replication)</t>
        </is>
      </c>
      <c r="C4" s="149" t="inlineStr">
        <is>
          <t>Fabrice / Gema</t>
        </is>
      </c>
      <c r="D4" s="172" t="inlineStr">
        <is>
          <t>HIGH</t>
        </is>
      </c>
      <c r="E4" s="149" t="inlineStr">
        <is>
          <t>Pre-mid-June</t>
        </is>
      </c>
    </row>
    <row r="5" ht="34.5" customHeight="1" s="134">
      <c r="A5" s="169" t="n">
        <v>4</v>
      </c>
      <c r="B5" s="151" t="inlineStr">
        <is>
          <t>Conversion signal: confirm the migrated site pushes the form event with the current form-id keys (a live dataLayer test).</t>
        </is>
      </c>
      <c r="C5" s="149" t="inlineStr">
        <is>
          <t>Website/Migration + us</t>
        </is>
      </c>
      <c r="D5" s="170" t="inlineStr">
        <is>
          <t>CRITICAL</t>
        </is>
      </c>
      <c r="E5" s="149" t="inlineStr">
        <is>
          <t>Root cause identified (dataLayer rename); verify on site</t>
        </is>
      </c>
    </row>
    <row r="6" ht="34.5" customHeight="1" s="134">
      <c r="A6" s="169" t="n">
        <v>5</v>
      </c>
      <c r="B6" s="151" t="inlineStr">
        <is>
          <t>FR Lead MQL: confirm it reactivates once the dataLayer is realigned (likely the same break).</t>
        </is>
      </c>
      <c r="C6" s="149" t="inlineStr">
        <is>
          <t>Us (in-platform) + Website</t>
        </is>
      </c>
      <c r="D6" s="172" t="inlineStr">
        <is>
          <t>HIGH</t>
        </is>
      </c>
      <c r="E6" s="149" t="inlineStr">
        <is>
          <t>Open</t>
        </is>
      </c>
    </row>
    <row r="7" ht="34.5" customHeight="1" s="134">
      <c r="A7" s="169" t="n">
        <v>6</v>
      </c>
      <c r="B7" s="151" t="inlineStr">
        <is>
          <t>France public sector landing page: scope, owner, timeline?</t>
        </is>
      </c>
      <c r="C7" s="149" t="inlineStr">
        <is>
          <t>Sebastian + Alexia</t>
        </is>
      </c>
      <c r="D7" s="172" t="inlineStr">
        <is>
          <t>HIGH</t>
        </is>
      </c>
      <c r="E7" s="149" t="inlineStr">
        <is>
          <t>Pre-mid-June</t>
        </is>
      </c>
    </row>
    <row r="8" ht="34.5" customHeight="1" s="134">
      <c r="A8" s="169" t="n">
        <v>7</v>
      </c>
      <c r="B8" s="151" t="inlineStr">
        <is>
          <t>UK Workforce/Easilys/Inpulse: confirm out of scope for 2026?</t>
        </is>
      </c>
      <c r="C8" s="149" t="inlineStr">
        <is>
          <t>Ash Millar</t>
        </is>
      </c>
      <c r="D8" s="242" t="inlineStr">
        <is>
          <t>MEDIUM</t>
        </is>
      </c>
      <c r="E8" s="149" t="inlineStr">
        <is>
          <t>1-line check</t>
        </is>
      </c>
    </row>
    <row r="9" ht="34.5" customHeight="1" s="134">
      <c r="A9" s="169" t="n">
        <v>8</v>
      </c>
      <c r="B9" s="151" t="inlineStr">
        <is>
          <t>LinkedIn ABM final decision: kill all, kill FR only, or pivot UK+ES to Lead Gen Form?</t>
        </is>
      </c>
      <c r="C9" s="149" t="inlineStr">
        <is>
          <t>Zibi</t>
        </is>
      </c>
      <c r="D9" s="170" t="inlineStr">
        <is>
          <t>CRITICAL</t>
        </is>
      </c>
      <c r="E9" s="149" t="inlineStr">
        <is>
          <t>Friday decision</t>
        </is>
      </c>
    </row>
    <row r="10" ht="49.5" customHeight="1" s="134">
      <c r="A10" s="169" t="n">
        <v>9</v>
      </c>
      <c r="B10" s="151" t="inlineStr">
        <is>
          <t>Confirm with Zibi: Lukas access revocation and "Require work account sign-in" flip (CRITICAL — needs Zibi action today)</t>
        </is>
      </c>
      <c r="C10" s="149" t="inlineStr">
        <is>
          <t>Zibi</t>
        </is>
      </c>
      <c r="D10" s="170" t="inlineStr">
        <is>
          <t>CRITICAL</t>
        </is>
      </c>
      <c r="E10" s="149" t="inlineStr">
        <is>
          <t>Escalate today</t>
        </is>
      </c>
    </row>
    <row r="11" ht="49.5" customHeight="1" s="134">
      <c r="A11" s="169" t="n">
        <v>10</v>
      </c>
      <c r="B11" s="151" t="inlineStr">
        <is>
          <t>Fabrice future status: if continuing handoff, needs fresh invite under work email. If not, fully revoke.</t>
        </is>
      </c>
      <c r="C11" s="149" t="inlineStr">
        <is>
          <t>Zibi + Fabrice</t>
        </is>
      </c>
      <c r="D11" s="172" t="inlineStr">
        <is>
          <t>HIGH</t>
        </is>
      </c>
      <c r="E11" s="149" t="inlineStr">
        <is>
          <t>Confirm this week</t>
        </is>
      </c>
    </row>
    <row r="12" ht="49.5" customHeight="1" s="134">
      <c r="A12" s="169" t="n">
        <v>11</v>
      </c>
      <c r="B12" s="151" t="inlineStr">
        <is>
          <t>Confirm with Zibi: should we keep Fabrice GA auto-import pipeline at all? (FR Bing was greenfield Nov 2025, all 42 campaigns came from this)</t>
        </is>
      </c>
      <c r="C12" s="149" t="inlineStr">
        <is>
          <t>Zibi</t>
        </is>
      </c>
      <c r="D12" s="242" t="inlineStr">
        <is>
          <t>MEDIUM</t>
        </is>
      </c>
      <c r="E12" s="149" t="inlineStr">
        <is>
          <t>Next week</t>
        </is>
      </c>
    </row>
    <row r="21" ht="15.75" customHeight="1" s="134"/>
    <row r="22" ht="15.75" customHeight="1" s="134"/>
    <row r="23" ht="15.75" customHeight="1" s="134"/>
    <row r="24" ht="15.75" customHeight="1" s="134"/>
    <row r="25" ht="15.75" customHeight="1" s="134"/>
    <row r="26" ht="15.75" customHeight="1" s="134"/>
    <row r="27" ht="15.75" customHeight="1" s="134"/>
    <row r="28" ht="15.75" customHeight="1" s="134"/>
    <row r="29" ht="15.75" customHeight="1" s="134"/>
    <row r="30" ht="15.75" customHeight="1" s="134"/>
    <row r="31" ht="15.75" customHeight="1" s="134"/>
    <row r="32" ht="15.75" customHeight="1" s="134"/>
    <row r="33" ht="15.75" customHeight="1" s="134"/>
    <row r="34" ht="15.75" customHeight="1" s="134"/>
    <row r="35" ht="15.75" customHeight="1" s="134"/>
    <row r="36" ht="15.75" customHeight="1" s="134"/>
    <row r="37" ht="15.75" customHeight="1" s="134"/>
    <row r="38" ht="15.75" customHeight="1" s="134"/>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D2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15" customWidth="1" style="133" min="1" max="1"/>
    <col width="16" customWidth="1" style="133" min="2" max="2"/>
    <col width="22" customWidth="1" style="133" min="3" max="3"/>
    <col width="90" customWidth="1" style="133" min="4" max="4"/>
    <col width="8.710000000000001" customWidth="1" style="133" min="5" max="26"/>
  </cols>
  <sheetData>
    <row r="1" ht="19.5" customHeight="1" s="134">
      <c r="A1" s="168" t="inlineStr">
        <is>
          <t>Change Log</t>
        </is>
      </c>
    </row>
    <row r="3" ht="15" customHeight="1" s="134">
      <c r="A3" s="233" t="inlineStr">
        <is>
          <t>Date</t>
        </is>
      </c>
      <c r="B3" s="233" t="inlineStr">
        <is>
          <t>Author</t>
        </is>
      </c>
      <c r="C3" s="233" t="inlineStr">
        <is>
          <t>Change type</t>
        </is>
      </c>
      <c r="D3" s="233" t="inlineStr">
        <is>
          <t>Summary</t>
        </is>
      </c>
    </row>
    <row r="4" ht="60" customHeight="1" s="134">
      <c r="A4" s="234" t="inlineStr">
        <is>
          <t>2026-05-26</t>
        </is>
      </c>
      <c r="B4" s="234" t="inlineStr">
        <is>
          <t>Claude (with Adrian)</t>
        </is>
      </c>
      <c r="C4" s="234" t="inlineStr">
        <is>
          <t>INITIAL CREATION</t>
        </is>
      </c>
      <c r="D4" s="234" t="inlineStr">
        <is>
          <t>Master findings workbook created. Pre-populated: Google Ads (all 3 markets, 14 findings from 8 audit sessions). LinkedIn Ads Session 1 (9 findings). Product-market readiness map (locked from May 22 Zibi strategy meeting). Tracking findings (Mapal OS Tag, FR Lead MQL). Action Plan (20 actions sequenced). Open Questions (7 confirmations needed).</t>
        </is>
      </c>
    </row>
    <row r="5" ht="60" customHeight="1" s="134">
      <c r="A5" s="234" t="n"/>
      <c r="B5" s="234" t="n"/>
      <c r="C5" s="234" t="n"/>
      <c r="D5" s="234" t="inlineStr">
        <is>
          <t>(LinkedIn Session 2 deep dive findings will be added once Chrome extension audit completes.)</t>
        </is>
      </c>
    </row>
    <row r="6" ht="60" customHeight="1" s="134">
      <c r="A6" s="234" t="n"/>
      <c r="B6" s="234" t="n"/>
      <c r="C6" s="234" t="n"/>
      <c r="D6" s="234" t="inlineStr">
        <is>
          <t>(Microsoft Ads audit findings will be added later this week.)</t>
        </is>
      </c>
    </row>
    <row r="7" ht="60" customHeight="1" s="134">
      <c r="A7" s="234" t="n"/>
      <c r="B7" s="234" t="n"/>
      <c r="C7" s="234" t="n"/>
      <c r="D7" s="234" t="inlineStr">
        <is>
          <t>(HubSpot tracking deep dive will be added post Mapal OS Tag fix.)</t>
        </is>
      </c>
    </row>
    <row r="8" ht="94.5" customHeight="1" s="134">
      <c r="A8" s="151" t="n">
        <v>7</v>
      </c>
      <c r="B8" s="151" t="inlineStr">
        <is>
          <t>2026-05-26 12:50</t>
        </is>
      </c>
      <c r="C8" s="151" t="inlineStr">
        <is>
          <t>Adrian</t>
        </is>
      </c>
      <c r="D8" s="151" t="inlineStr">
        <is>
          <t>LinkedIn Session 2 integrated. New CRITICAL findings: FR ABM wrong-vertical company list, FR Fab Lead Form proves narrow-audience kills leads (smoking gun for ABM replacement playbook), unused FR TOP 100 v2 matched audience, UK ABM under-spent permanent cold-start, FR Lead MQL Inactive 4 weeks. Exec Summary restacked. Tracking &amp; Attribution rebuilt. Action Plan expanded with Lead Gen Form replication path.</t>
        </is>
      </c>
    </row>
    <row r="9" ht="99.75" customHeight="1" s="134">
      <c r="A9" s="151" t="n">
        <v>8</v>
      </c>
      <c r="B9" s="151" t="inlineStr">
        <is>
          <t>2026-05-26 ~16:00</t>
        </is>
      </c>
      <c r="C9" s="151" t="inlineStr">
        <is>
          <t>Adrian</t>
        </is>
      </c>
      <c r="D9" s="151" t="inlineStr">
        <is>
          <t>Microsoft Ads scope session integrated (v3). New CRITICAL findings: UK Bing brand defence OFF (extends Google), FR Workforce running ~€785/90d against product map (same mechanism as ES Google), Lead MQL/SQL goals BROKEN on BOTH Microsoft accounts (extends pattern: now confirmed across all 3 platforms), EN time zone misconfigured (Helsinki for UK). Exec Summary restacked. 18 Microsoft findings added. 8 Microsoft-driven actions added to Action Plan. 10 gaps flagged for next Bing session.</t>
        </is>
      </c>
    </row>
    <row r="10" ht="99.75" customHeight="1" s="134">
      <c r="A10" s="151" t="n">
        <v>9</v>
      </c>
      <c r="B10" s="151" t="inlineStr">
        <is>
          <t>2026-05-26 evening</t>
        </is>
      </c>
      <c r="C10" s="151" t="inlineStr">
        <is>
          <t>Adrian</t>
        </is>
      </c>
      <c r="D10" s="151" t="inlineStr">
        <is>
          <t>Master sheet v4. Two changes: (1) New BUDGET IMPACT tab — headline annualised waste, detailed line items with confidence levels, reallocation strategy, net bottom-line scenarios, methodology + caveats. Conservative numbers throughout. Total identified waste range: €77-108K/yr annualised. Realistic net savings to commit publicly: €55-75K/yr. (2) Source references scrubbed throughout sheet for professional distribution.</t>
        </is>
      </c>
    </row>
    <row r="11" ht="129.75" customHeight="1" s="134">
      <c r="A11" s="151" t="n">
        <v>10</v>
      </c>
      <c r="B11" s="151" t="inlineStr">
        <is>
          <t>2026-05-26 evening</t>
        </is>
      </c>
      <c r="C11" s="151" t="inlineStr">
        <is>
          <t>Adrian</t>
        </is>
      </c>
      <c r="D11" s="151" t="inlineStr">
        <is>
          <t>Master sheet v5. Microsoft Ads gap-closure integrated (10 gaps, 8 closed, 1 partial, 1 failed). CRITICAL governance finding: Lukas (terminated contractor) retains Primary Super Admin via personal Gmail on both Bing accounts. Same person/Gmail pattern as Google Ads ES — now escalated to TOP-1 action. Plus: 250-KW Easilys negative list orphaned (best curated list, 0 campaigns attached), 4 CORE FR campaigns on Max Clicks bidding (same volume-not-value pattern as ES Workforce Google), Lead SQL/MQL diagnostic confirmed at event-level break across all 3 platforms. 2 Exec Summary findings, 11 Microsoft tab findings, 6 actions, 3 open questions added. Budget Impact tab updated with Easilys neg list efficiency line item and governance qualitative row.</t>
        </is>
      </c>
    </row>
    <row r="12" ht="150" customHeight="1" s="134">
      <c r="A12" s="151" t="n">
        <v>11</v>
      </c>
      <c r="B12" s="151" t="inlineStr">
        <is>
          <t>2026-05-26 evening</t>
        </is>
      </c>
      <c r="C12" s="151" t="inlineStr">
        <is>
          <t>Adrian</t>
        </is>
      </c>
      <c r="D12" s="151" t="inlineStr">
        <is>
          <t>Master sheet v6. BUDGET IMPACT TAB FULLY REBUILT with conservative methodology. Changes: (1) Headline commit-publicly range tightened: €35-55K/yr realistic (was €55-75K). Stretch €70-100K only with tracking fix landed. Conservative floor €22-30K/yr. (2) Tracking-fix haircuts now applied: HIGH × 0.85, MEDIUM × 0.55, LOW × 0.30. (3) Already-booked savings (LinkedIn ABM kill) separated from forward-recovery to stop misleading double-counting. (4) Possible double-count fixed: FR Bing brand-Workforce keyword bleed €369 was INSIDE the €785 FR Workforce campaign spend, now consolidated. (5) Reallocation items honestly relabelled — most are NEW investments not true reallocation. (6) Total paid spend baseline removed (no verified source). (7) 12-point methodology section explains every assumption.</t>
        </is>
      </c>
    </row>
    <row r="13" ht="129.75" customHeight="1" s="134">
      <c r="A13" s="151" t="n">
        <v>12</v>
      </c>
      <c r="B13" s="151" t="inlineStr">
        <is>
          <t>2026-05-26 evening</t>
        </is>
      </c>
      <c r="C13" s="151" t="inlineStr">
        <is>
          <t>Adrian</t>
        </is>
      </c>
      <c r="D13" s="151" t="inlineStr">
        <is>
          <t>Master sheet v7. ABM TRIAGE TAB added. 13 ABM-related tasks reviewed. Decisions: 4 KILL (InMail Top-100 narrow plays), 3 CONSOLIDATE (PPC Easilys video plays merged into 1 broader-audience campaign), 1 RESCUE WITH AUDIENCE MODIFICATION (UK A/B video test moves from narrow Top-100 to broader UK Flow ICP), 1 INCOMING (Blog 2 ads will follow same approach when brief lands), 1 GREEN re-timed (LinkedIn ABM scaling test as framework for new approach post-15 June). Strategic frame: implementing Sebastian post-LinkedIn-review pivot to wider audience, NOT killing ABM. Defence playbook included. Net budget position: saving ~€2,500-€3,500/month vs original plan AND still delivering active campaigns. Total forward saving 90 days: ~€7-8K planned spend cancelled.</t>
        </is>
      </c>
    </row>
    <row r="14" ht="99.75" customHeight="1" s="134">
      <c r="A14" s="151" t="n">
        <v>13</v>
      </c>
      <c r="B14" s="151" t="inlineStr">
        <is>
          <t>2026-05-26 evening</t>
        </is>
      </c>
      <c r="C14" s="151" t="inlineStr">
        <is>
          <t>Adrian</t>
        </is>
      </c>
      <c r="D14" s="151" t="inlineStr">
        <is>
          <t>Master sheet v8. LinkedIn S3 gap-closure integrated. 3 of 6 gaps fully closed (audiences page 2, FR Fab form structure, Insight Tag detail), 1 partial (ABM ad copy inventory at name/ID/performance level but no per-ad creative deep-dive), 2 deferred to S4 (legacy clutter + per-ABM-ad-set conversion attachments). Key new findings added: FR Fab Lead Form template fully mapped, FR forms graveyard 12 of 13 dormant, EN account dual-pipe Microsoft UET + LinkedIn Insight Tag, 3 orphan LGF audiences, FR HS-EASILYS-RCL-CUSTOMERS 15% match rate, conversion goal status confirmed across all 3 accounts.</t>
        </is>
      </c>
    </row>
    <row r="15" ht="90" customHeight="1" s="134">
      <c r="A15" s="151" t="n">
        <v>14</v>
      </c>
      <c r="B15" s="151" t="inlineStr">
        <is>
          <t>2026-05-26 evening</t>
        </is>
      </c>
      <c r="C15" s="151" t="inlineStr">
        <is>
          <t>Adrian</t>
        </is>
      </c>
      <c r="D15" s="151" t="inlineStr">
        <is>
          <t>Master sheet v9. LinkedIn S4 final session integrated. LinkedIn audit COMPLETE. 5 findings added: EN ABM ad set still active with optimization mismatch (decision needed), ES LANDING EBOOK Inactive attached to paused ES ABM ad set, Lead MQL/SQL absent from EN+ES entirely (strengthens Friday data story), FR ABM ad set conversion attachment clean, EN targeting includes 5 English-speaking markets not UK-only.</t>
        </is>
      </c>
    </row>
    <row r="16" ht="129.75" customHeight="1" s="134">
      <c r="A16" s="151" t="n">
        <v>15</v>
      </c>
      <c r="B16" s="151" t="inlineStr">
        <is>
          <t>2026-05-26 evening</t>
        </is>
      </c>
      <c r="C16" s="151" t="inlineStr">
        <is>
          <t>Adrian</t>
        </is>
      </c>
      <c r="D16" s="151" t="inlineStr">
        <is>
          <t>Master sheet v10. Google Ads gap-fill session 1 integrated. 12 findings added. CRITICAL: 4th contractor identity surfaced (TCE-ClickBoost tceclickboost@gmail.com on FR), Lukas UK budget oscillation pattern across 90 days, contractor governance expanded across all 3 accounts. HIGH: ES Recommendations Auto-Apply ON silent automation, Javier ES Display Remarketing audience widening Apr 23. INSIGHT: HubSpot integration writes back to campaigns, LATAM under ES account, FR neg KW lists detailed (5 lists 672 KWs incl 542-KW Easilys list flagship), FR placement exclusions only attached to 4 campaigns each. Session covered GAP 1 fully (change history all 3 accounts) + partial GAP 2 (FR shared library) + partial GAP 4 (FR rules). UK + ES shared library, audience exposure, automated rules UK + ES, bid strategy detail, and conversion actions inventory still pending — gap-fill session 2 prompt provided.</t>
        </is>
      </c>
    </row>
    <row r="17" ht="150" customHeight="1" s="134">
      <c r="A17" s="151" t="n">
        <v>16</v>
      </c>
      <c r="B17" s="151" t="inlineStr">
        <is>
          <t>2026-05-26 evening</t>
        </is>
      </c>
      <c r="C17" s="151" t="inlineStr">
        <is>
          <t>Adrian</t>
        </is>
      </c>
      <c r="D17" s="151" t="inlineStr">
        <is>
          <t>Master sheet v11. Google Ads gap-fill session 2 integrated. Google Ads audit COMPLETE. 12 findings added. CRITICAL: ES 9-of-10 campaigns on Maximize Clicks (€22K systemic waste pattern), Employment Leisure Hospitality Jobs audience 5-of-6 attachments mismatched across UK+FR (cross-market leak quantified), FR conversion goal layer structurally broken (29 actions / 18 Removed / 4 still in goals — root cause for Lead MQL/SQL break with Google UI banner-warning visible). HIGH: ES Compra Removed-but-Primary conversion, UK Mapal Demo Form Needs-attention, ES 0 placement exclusion lists, FR Smart Bidding learning failure, UK Max Clicks waste €5,600/90d. MEDIUM: UK 7 orphan shared library items, ES 7 orphan shared library items incl Workforce remarketing audience unused. INSIGHT: ES neg KW lists prior finding REFUTED (4 lists / 42 KWs not 1), automated rules visibility scoped to signed-in user (contractor rules invisible). Google Ads audit fully closed except minor: portfolio tCPA values per-strategy + per-row budget magnitudes from Lukas oscillation + ES audience pagination beyond page 1.</t>
        </is>
      </c>
    </row>
    <row r="18" ht="219.75" customHeight="1" s="134">
      <c r="A18" s="151" t="n">
        <v>17</v>
      </c>
      <c r="B18" s="151" t="inlineStr">
        <is>
          <t>2026-05-26 night</t>
        </is>
      </c>
      <c r="C18" s="151" t="inlineStr">
        <is>
          <t>Adrian</t>
        </is>
      </c>
      <c r="D18" s="151" t="inlineStr">
        <is>
          <t>Master sheet v12. FULL QA PASS + ACTION-READY REBUILD. Issues fixed: (1) Cover tab status outdated (LinkedIn S2 + Microsoft pending — actually all complete). (2) Exec Summary row 1 (UK Brand Defence) was empty placeholder — populated with full finding. (3) Exec Summary row 16 stale "Microsoft admin not captured" — marked SUPERSEDED. (4) Tracking &amp; Attribution items 4 + 7 updated to reflect S4 attached-vs-pool distinction + HubSpot training complete. (5) Budget Impact item 3 markets WRONG (was ES+UK, correctly UK+FR — ES is the only valid attachment). (6) Budget Impact headline vs total math reconciled with note. (7) Google Ads tab numbering chaos fixed — renumbered 1-28 sequentially. (8) New "QA Notes" tab catalogs all 21 issues found + resolutions. (9) New "Action-Ready" tab translates 55 discrete actions into Platform + Account + Entity ID + Action + Verify-step + Confidence rating. Organized: Section 1 Zibi-Escalate, 2 Microsoft Ready, 3 Google Ready, 4 LinkedIn Ready, 5 Verify-First, 6 Blocked, 7 Deferred, 8 Replication+Future. This is the Chrome-extension execution view.</t>
        </is>
      </c>
    </row>
    <row r="19" ht="199.5" customHeight="1" s="134">
      <c r="A19" s="151" t="n">
        <v>18</v>
      </c>
      <c r="B19" s="151" t="inlineStr">
        <is>
          <t>2026-05-26 late night</t>
        </is>
      </c>
      <c r="C19" s="151" t="inlineStr">
        <is>
          <t>Adrian</t>
        </is>
      </c>
      <c r="D19" s="151" t="inlineStr">
        <is>
          <t>Master sheet v13. TRIPLE-PERSPECTIVE REVIEW + STRATEGIC ALIGNMENT REBUILD. Conducted three persona reviews of v12: (1) Paid Media Expert (technical execution gaps), (2) Program Manager (sequencing + dependency + risk), (3) CMO (revenue + brand + exec framing). Consolidated findings led to 5 new tabs: Strategic Foundation (10 pillars, narrative, current state per pillar), CMO Briefing (1-pager exec summary with financial picture + strategic outcomes + competitive landscape + 90-day plan + asks), Critical Path (7-stage dependency graph by owner column, single blocker identified = Mapal OS Tag), Risk Register (15 risks with probability/impact/mitigation/contingency), Reporting Cadence (daily/weekly/monthly/quarterly structure + 15-KPI catalog). Action-Ready upgraded with Owner / Status / Depends on / Success criteria columns. Cover refreshed with new tab descriptions. Sheet now contains: strategic foundation (the why), execution detail (the what), sequencing (the when), governance (the how), reporting (the ongoing).</t>
        </is>
      </c>
    </row>
    <row r="20" ht="60" customHeight="1" s="134">
      <c r="A20" s="151" t="inlineStr">
        <is>
          <t>19.0</t>
        </is>
      </c>
      <c r="B20" s="151" t="inlineStr">
        <is>
          <t>2026-05-30</t>
        </is>
      </c>
      <c r="C20" s="151" t="inlineStr">
        <is>
          <t>Adrian</t>
        </is>
      </c>
      <c r="D20" s="151" t="inlineStr">
        <is>
          <t>Master sheet v14. Added PAID CONTRIBUTION BY SOURCE block to CMO Briefing, sourced from the full 875-opp Dynamics export (007). Paid = #2 by closed-won deals (19), #4 by pipeline value (€1.05M / 120 opps), 15.8% win rate, ahead of website/events/email on won business. Flagged open item: a separate filtered view ranks paid #3 by value and needs window reconciliation. Forward report and deck aligned to these same figures.</t>
        </is>
      </c>
    </row>
    <row r="21" ht="60" customHeight="1" s="134">
      <c r="A21" s="151" t="n">
        <v>18</v>
      </c>
      <c r="B21" s="151" t="inlineStr">
        <is>
          <t>2026-05-30</t>
        </is>
      </c>
      <c r="C21" s="151" t="inlineStr">
        <is>
          <t>Adrian</t>
        </is>
      </c>
      <c r="D21" s="151" t="inlineStr">
        <is>
          <t>Master sheet v15. Added Tracking &amp; Attribution finding #8: non-demo paid leads dead-end (only Request a Demo routes to SDR; whitepaper, event, product-page fills create a HubSpot event then stop). Logged with the nurture-to-SDR engine as the fix. Surfaced from the 30 May lifecycle session. No budget or source-ranking changes.</t>
        </is>
      </c>
    </row>
    <row r="22" ht="15.75" customHeight="1" s="134">
      <c r="A22" s="151" t="n">
        <v>20</v>
      </c>
      <c r="B22" s="151" t="inlineStr">
        <is>
          <t>2026-06-02</t>
        </is>
      </c>
      <c r="C22" s="151" t="inlineStr">
        <is>
          <t>Adrian</t>
        </is>
      </c>
      <c r="D22" s="151" t="inlineStr">
        <is>
          <t>Master sheet v16. Added EXPANSION (cross-sell + up-sell) KPIs to the Reporting Cadence KPI catalog (expansion revenue/NRR, cross-sell rate, estate/seat expansion, renewal uplift, marketing-influenced expansion opps, owned-module adoption health) and four Q3-Q4 expansion build rows to the Action Plan. Mirrors Section 10 of PPC and Nurture: The Plan v7 (the customer motion the acquisition rules point to when they suppress current customers). No changes to audit findings, locked numbers, or budget.</t>
        </is>
      </c>
    </row>
    <row r="23" ht="15.75" customHeight="1" s="134">
      <c r="A23" s="151" t="n">
        <v>21</v>
      </c>
      <c r="B23" s="151" t="inlineStr">
        <is>
          <t>2026-06-02</t>
        </is>
      </c>
      <c r="C23" s="151" t="inlineStr">
        <is>
          <t>Adrian</t>
        </is>
      </c>
      <c r="D23" s="151" t="inlineStr">
        <is>
          <t>Master sheet v17. Added a Locked Numbers tab as the single source of truth for all figures (report, deck and The Plan reconcile to it). Added the two expansion data prerequisites as owned items, both Q3: product-usage sync to the CRM (owner RevOps) and customer-health score exposed to marketing (owner Customer Success), on the Tracking and Attribution tab and the Action Plan. Refreshed the Cover. No changes to audit findings, locked numbers, or budget.</t>
        </is>
      </c>
    </row>
    <row r="24" ht="15.75" customHeight="1" s="134">
      <c r="A24" t="inlineStr">
        <is>
          <t>22</t>
        </is>
      </c>
      <c r="B24" t="inlineStr">
        <is>
          <t>2026-06-02</t>
        </is>
      </c>
      <c r="C24" t="inlineStr">
        <is>
          <t>Adrian</t>
        </is>
      </c>
      <c r="D24" t="inlineStr">
        <is>
          <t>Master sheet v18. Re-cut tracking ownership across the workbook: the conversion outage is a website dataLayer break owned by us and the website-migration lead, not a RevOps fix (Tracking &amp; Attribution, Critical Path, CMO Briefing, Exec Summary, Risk Register, Open Questions updated). Lead routing is now live (RevOps); finding 9 reframed to the residual non-demo notification gap. Paid suppression and the fit gate aligned to the under-20-employee inbound qualification gate. Locked Numbers unchanged.</t>
        </is>
      </c>
    </row>
    <row r="25" ht="15.75" customHeight="1" s="134"/>
    <row r="26" ht="15.75" customHeight="1" s="134"/>
    <row r="27" ht="15.75" customHeight="1" s="134"/>
    <row r="28" ht="15.75" customHeight="1" s="134"/>
    <row r="29" ht="15.75" customHeight="1" s="134"/>
    <row r="30" ht="15.75" customHeight="1" s="134"/>
    <row r="31" ht="15.75" customHeight="1" s="134"/>
    <row r="32" ht="15.75" customHeight="1" s="134"/>
    <row r="33" ht="15.75" customHeight="1" s="134"/>
    <row r="34" ht="15.75" customHeight="1" s="134"/>
    <row r="35" ht="15.75" customHeight="1" s="134"/>
    <row r="36" ht="15.75" customHeight="1" s="134"/>
    <row r="37" ht="15.75" customHeight="1" s="134"/>
    <row r="38" ht="15.75" customHeight="1" s="134"/>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mergeCells count="1">
    <mergeCell ref="A1:D1"/>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E2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5" customWidth="1" style="133" min="1" max="1"/>
    <col width="14" customWidth="1" style="133" min="2" max="2"/>
    <col width="20" customWidth="1" style="133" min="3" max="3"/>
    <col width="50" customWidth="1" style="133" min="4" max="5"/>
    <col width="8.710000000000001" customWidth="1" style="133" min="6" max="26"/>
  </cols>
  <sheetData>
    <row r="1" ht="17.25" customHeight="1" s="134">
      <c r="A1" s="254" t="inlineStr">
        <is>
          <t>QA Pass — Issues Found and Resolved in v12</t>
        </is>
      </c>
    </row>
    <row r="2" ht="24.75" customHeight="1" s="134">
      <c r="A2" s="248" t="inlineStr">
        <is>
          <t>Full audit of sheet contents performed 26-May night. Issues catalogued, fixed in v12. Use this as the QA record.</t>
        </is>
      </c>
    </row>
    <row r="4" ht="30" customHeight="1" s="134">
      <c r="A4" s="160" t="inlineStr">
        <is>
          <t>#</t>
        </is>
      </c>
      <c r="B4" s="160" t="inlineStr">
        <is>
          <t>Category</t>
        </is>
      </c>
      <c r="C4" s="160" t="inlineStr">
        <is>
          <t>Tab affected</t>
        </is>
      </c>
      <c r="D4" s="160" t="inlineStr">
        <is>
          <t>Issue</t>
        </is>
      </c>
      <c r="E4" s="160" t="inlineStr">
        <is>
          <t>Resolution in v12</t>
        </is>
      </c>
    </row>
    <row r="5" ht="64.5" customHeight="1" s="134">
      <c r="A5" s="149" t="n">
        <v>1</v>
      </c>
      <c r="B5" s="183" t="inlineStr">
        <is>
          <t>STALE</t>
        </is>
      </c>
      <c r="C5" s="151" t="inlineStr">
        <is>
          <t>Cover</t>
        </is>
      </c>
      <c r="D5" s="151" t="inlineStr">
        <is>
          <t>Status line said "Google Ads complete, LinkedIn Session 1 banked, Session 2 + Microsoft + HubSpot pending"</t>
        </is>
      </c>
      <c r="E5" s="151" t="inlineStr">
        <is>
          <t>Updated to "COMPLETE — Google Ads + LinkedIn + Microsoft audits all banked. HubSpot planned separately."</t>
        </is>
      </c>
    </row>
    <row r="6" ht="64.5" customHeight="1" s="134">
      <c r="A6" s="149" t="n">
        <v>2</v>
      </c>
      <c r="B6" s="183" t="inlineStr">
        <is>
          <t>STALE</t>
        </is>
      </c>
      <c r="C6" s="151" t="inlineStr">
        <is>
          <t>Cover</t>
        </is>
      </c>
      <c r="D6" s="151" t="inlineStr">
        <is>
          <t>LinkedIn tab description said "Session 2 will populate further rows"</t>
        </is>
      </c>
      <c r="E6" s="151" t="inlineStr">
        <is>
          <t>Updated to "Complete audit S1-S4 across EN, ES, FR"</t>
        </is>
      </c>
    </row>
    <row r="7" ht="64.5" customHeight="1" s="134">
      <c r="A7" s="149" t="n">
        <v>3</v>
      </c>
      <c r="B7" s="183" t="inlineStr">
        <is>
          <t>STALE</t>
        </is>
      </c>
      <c r="C7" s="151" t="inlineStr">
        <is>
          <t>Cover</t>
        </is>
      </c>
      <c r="D7" s="151" t="inlineStr">
        <is>
          <t>Microsoft tab description said "Placeholder. Audit pending this week"</t>
        </is>
      </c>
      <c r="E7" s="151" t="inlineStr">
        <is>
          <t>Updated to "Complete audit S1+S2 across EN-BING + FR-BING"</t>
        </is>
      </c>
    </row>
    <row r="8" ht="64.5" customHeight="1" s="134">
      <c r="A8" s="149" t="n">
        <v>4</v>
      </c>
      <c r="B8" s="183" t="inlineStr">
        <is>
          <t>STALE</t>
        </is>
      </c>
      <c r="C8" s="151" t="inlineStr">
        <is>
          <t>Cover</t>
        </is>
      </c>
      <c r="D8" s="151" t="inlineStr">
        <is>
          <t>Timestamp showed 10:36 morning despite v11 evening label</t>
        </is>
      </c>
      <c r="E8" s="151" t="inlineStr">
        <is>
          <t>Updated to v12 with 22:30 timestamp</t>
        </is>
      </c>
    </row>
    <row r="9" ht="64.5" customHeight="1" s="134">
      <c r="A9" s="149" t="n">
        <v>5</v>
      </c>
      <c r="B9" s="183" t="inlineStr">
        <is>
          <t>STALE</t>
        </is>
      </c>
      <c r="C9" s="151" t="inlineStr">
        <is>
          <t>Tracking &amp; Attribution</t>
        </is>
      </c>
      <c r="D9" s="151" t="inlineStr">
        <is>
          <t>Item 4 "UK ABM 3 of 7 broken" was the AVAILABLE pool, not the ATTACHED conversions</t>
        </is>
      </c>
      <c r="E9" s="151" t="inlineStr">
        <is>
          <t>Rewrote to clarify: ATTACHED at ad-set level (per S4) = 1 Active conversion only. Inactive/do-not-use exist in the POOL but are not attached.</t>
        </is>
      </c>
    </row>
    <row r="10" ht="64.5" customHeight="1" s="134">
      <c r="A10" s="149" t="n">
        <v>6</v>
      </c>
      <c r="B10" s="183" t="inlineStr">
        <is>
          <t>STALE</t>
        </is>
      </c>
      <c r="C10" s="151" t="inlineStr">
        <is>
          <t>Tracking &amp; Attribution</t>
        </is>
      </c>
      <c r="D10" s="151" t="inlineStr">
        <is>
          <t>Item 7 said HubSpot training was happening today 13:00 — already completed</t>
        </is>
      </c>
      <c r="E10" s="151" t="inlineStr">
        <is>
          <t>Updated to "training completed, ref for Wed walkthrough"</t>
        </is>
      </c>
    </row>
    <row r="11" ht="64.5" customHeight="1" s="134">
      <c r="A11" s="149" t="n">
        <v>7</v>
      </c>
      <c r="B11" s="183" t="inlineStr">
        <is>
          <t>STALE</t>
        </is>
      </c>
      <c r="C11" s="151" t="inlineStr">
        <is>
          <t>Exec Summary</t>
        </is>
      </c>
      <c r="D11" s="151" t="inlineStr">
        <is>
          <t>Row 16 was placeholder "Microsoft admin list NOT captured" — superseded by row 17 which has actual finding</t>
        </is>
      </c>
      <c r="E11" s="151" t="inlineStr">
        <is>
          <t>Marked row 16 SUPERSEDED in italic + reference to row 17</t>
        </is>
      </c>
    </row>
    <row r="12" ht="64.5" customHeight="1" s="134">
      <c r="A12" s="149" t="n">
        <v>8</v>
      </c>
      <c r="B12" s="181" t="inlineStr">
        <is>
          <t>BROKEN</t>
        </is>
      </c>
      <c r="C12" s="151" t="inlineStr">
        <is>
          <t>Exec Summary</t>
        </is>
      </c>
      <c r="D12" s="151" t="inlineStr">
        <is>
          <t>Row 1 (rank #1) had only c1=1, c8=UK Flow — no actual finding text. Top-ranked finding missing content</t>
        </is>
      </c>
      <c r="E12" s="151" t="inlineStr">
        <is>
          <t>Populated with UK Brand Defence PAUSED finding (CRITICAL, both Google + Microsoft, lifetime €13.64 CPA / 162 conv) per audit evidence</t>
        </is>
      </c>
    </row>
    <row r="13" ht="64.5" customHeight="1" s="134">
      <c r="A13" s="149" t="n">
        <v>9</v>
      </c>
      <c r="B13" s="180" t="inlineStr">
        <is>
          <t>MATH</t>
        </is>
      </c>
      <c r="C13" s="151" t="inlineStr">
        <is>
          <t>Budget Impact</t>
        </is>
      </c>
      <c r="D13" s="151" t="inlineStr">
        <is>
          <t>Headline "€35-55K realistic" vs line-item total "€67,410" — no explanation of relationship</t>
        </is>
      </c>
      <c r="E13" s="151" t="inlineStr">
        <is>
          <t>Added reconciliation note row above TOTAL line: €67,410 already includes tracking-fix haircut (HIGH×0.85, MED×0.55, LOW×0.30). €35-55K applies ~30% further conservatism for execution risk + CPC inflation + replication uncertainty. Both numbers internally consistent now.</t>
        </is>
      </c>
    </row>
    <row r="14" ht="64.5" customHeight="1" s="134">
      <c r="A14" s="149" t="n">
        <v>10</v>
      </c>
      <c r="B14" s="180" t="inlineStr">
        <is>
          <t>MATH</t>
        </is>
      </c>
      <c r="C14" s="151" t="inlineStr">
        <is>
          <t>ABM Triage vs Budget Impact</t>
        </is>
      </c>
      <c r="D14" s="151" t="inlineStr">
        <is>
          <t>ABM Triage budget summary says "Realistic 12mo after haircut €10-16K". Budget Impact already-booked says €8,993/yr. Numbers do not visibly reconcile.</t>
        </is>
      </c>
      <c r="E14" s="151" t="inlineStr">
        <is>
          <t>Note added: ABM Triage figure covers Plays 1+2+3 consolidated + Plays 4-7 InMail kills + UK A/B test net new (€10-16K range). Budget Impact already-booked covers ONLY the LinkedIn ABM kill Zibi ordered (€8,993/yr). Different scopes, both correct.</t>
        </is>
      </c>
    </row>
    <row r="15" ht="64.5" customHeight="1" s="134">
      <c r="A15" s="149" t="n">
        <v>11</v>
      </c>
      <c r="B15" s="181" t="inlineStr">
        <is>
          <t>WRONG</t>
        </is>
      </c>
      <c r="C15" s="151" t="inlineStr">
        <is>
          <t>Budget Impact item 3</t>
        </is>
      </c>
      <c r="D15" s="151" t="inlineStr">
        <is>
          <t>Item said "Employment Jobs audience leak ES + UK". REALITY per Google G2: 5 of 6 mismatches are UK + FR. ES Workforce is the ONLY correct attachment.</t>
        </is>
      </c>
      <c r="E15" s="151" t="inlineStr">
        <is>
          <t>Corrected: market label now "UK + FR". Recommendation now specifies the 5 mismatched campaigns (UK Flow-Scale, UK Compliance-New, UK Flow-Hospitality Training, FR Mapal-FR, FR Easilys v2-FR). Keep on ES Workforce-ES.</t>
        </is>
      </c>
    </row>
    <row r="16" ht="64.5" customHeight="1" s="134">
      <c r="A16" s="149" t="n">
        <v>12</v>
      </c>
      <c r="B16" s="183" t="inlineStr">
        <is>
          <t>STRUCTURE</t>
        </is>
      </c>
      <c r="C16" s="151" t="inlineStr">
        <is>
          <t>Google Ads tab</t>
        </is>
      </c>
      <c r="D16" s="151" t="inlineStr">
        <is>
          <t>Row numbering chaos: 2,3,4,5,6,7,8,9,10,11,12,11,12,13,14,18,19,20,21,22,23,24,25,26,27,28,29 — duplicates and gaps</t>
        </is>
      </c>
      <c r="E16" s="151" t="inlineStr">
        <is>
          <t>Renumbered all 28 findings sequentially 1-28</t>
        </is>
      </c>
    </row>
    <row r="17" ht="64.5" customHeight="1" s="134">
      <c r="A17" s="149" t="n">
        <v>13</v>
      </c>
      <c r="B17" s="251" t="inlineStr">
        <is>
          <t>VERIFY</t>
        </is>
      </c>
      <c r="C17" s="151" t="inlineStr">
        <is>
          <t>Budget Impact item 1</t>
        </is>
      </c>
      <c r="D17" s="151" t="inlineStr">
        <is>
          <t>Workforce-ES MOBILE €6,593 split is in Budget Impact but not currently visible in Google Ads tab — Monday-audit specific data</t>
        </is>
      </c>
      <c r="E17" s="151" t="inlineStr">
        <is>
          <t>Action-Ready tab marks this VERIFY-FIRST: Adrian must confirm mobile-only spend split in Google Ads UI before pausing</t>
        </is>
      </c>
    </row>
    <row r="18" ht="64.5" customHeight="1" s="134">
      <c r="A18" s="149" t="n">
        <v>14</v>
      </c>
      <c r="B18" s="251" t="inlineStr">
        <is>
          <t>VERIFY</t>
        </is>
      </c>
      <c r="C18" s="151" t="inlineStr">
        <is>
          <t>Budget Impact item 2</t>
        </is>
      </c>
      <c r="D18" s="151" t="inlineStr">
        <is>
          <t>FR Google waste €9,160 / 52 keywords not currently traceable to specific Google Ads tab finding — Monday-audit data</t>
        </is>
      </c>
      <c r="E18" s="151" t="inlineStr">
        <is>
          <t>Action-Ready tab marks this VERIFY-FIRST: rebuild the keyword-level waste list in Google Ads UI before consolidating</t>
        </is>
      </c>
    </row>
    <row r="19" ht="64.5" customHeight="1" s="134">
      <c r="A19" s="149" t="n">
        <v>15</v>
      </c>
      <c r="B19" s="251" t="inlineStr">
        <is>
          <t>VERIFY</t>
        </is>
      </c>
      <c r="C19" s="151" t="inlineStr">
        <is>
          <t>Budget Impact item 4</t>
        </is>
      </c>
      <c r="D19" s="151" t="inlineStr">
        <is>
          <t>ES Display 4 new 2026 launches €3,156 / 1 conv not currently visible in Google Ads tab — Monday-audit data</t>
        </is>
      </c>
      <c r="E19" s="151" t="inlineStr">
        <is>
          <t>Action-Ready tab marks this VERIFY-FIRST: pull the 4 ES Display campaigns and recheck spend / conv before pausing</t>
        </is>
      </c>
    </row>
    <row r="20" ht="64.5" customHeight="1" s="134">
      <c r="A20" s="149" t="n">
        <v>16</v>
      </c>
      <c r="B20" s="251" t="inlineStr">
        <is>
          <t>VERIFY-BEFORE-ACT</t>
        </is>
      </c>
      <c r="C20" s="151" t="inlineStr">
        <is>
          <t>Google Ads tab</t>
        </is>
      </c>
      <c r="D20" s="151" t="inlineStr">
        <is>
          <t>TCE-ClickBoost access status unknown — stale rules from 2022/2023 confirmed but current access not verified</t>
        </is>
      </c>
      <c r="E20" s="151" t="inlineStr">
        <is>
          <t>Action-Ready tab: included in Zibi escalation. Verify access status before action.</t>
        </is>
      </c>
    </row>
    <row r="21" ht="64.5" customHeight="1" s="134">
      <c r="A21" s="149" t="n">
        <v>17</v>
      </c>
      <c r="B21" s="251" t="inlineStr">
        <is>
          <t>VERIFY-BEFORE-ACT</t>
        </is>
      </c>
      <c r="C21" s="151" t="inlineStr">
        <is>
          <t>LinkedIn Ads tab</t>
        </is>
      </c>
      <c r="D21" s="151" t="inlineStr">
        <is>
          <t>EN ABM ad set pause decision still showing as Decision Pending</t>
        </is>
      </c>
      <c r="E21" s="151" t="inlineStr">
        <is>
          <t>Action-Ready tab includes as DECISION-REQUIRED: A pause / B wait Friday / C leave</t>
        </is>
      </c>
    </row>
    <row r="22" ht="64.5" customHeight="1" s="134">
      <c r="A22" s="149" t="n">
        <v>18</v>
      </c>
      <c r="B22" s="251" t="inlineStr">
        <is>
          <t>VERIFY-BEFORE-ACT</t>
        </is>
      </c>
      <c r="C22" s="151" t="inlineStr">
        <is>
          <t>Microsoft Ads tab</t>
        </is>
      </c>
      <c r="D22" s="151" t="inlineStr">
        <is>
          <t>Pause FR MS Audience Network — need to identify specific campaigns, not all FR Bing</t>
        </is>
      </c>
      <c r="E22" s="151" t="inlineStr">
        <is>
          <t>Action-Ready tab marks: enumerate MS Audience Network campaigns specifically before pausing</t>
        </is>
      </c>
    </row>
    <row r="23" ht="64.5" customHeight="1" s="134">
      <c r="A23" s="149" t="n">
        <v>19</v>
      </c>
      <c r="B23" s="255" t="inlineStr">
        <is>
          <t>BLOCKED</t>
        </is>
      </c>
      <c r="C23" s="151" t="inlineStr">
        <is>
          <t>Multiple</t>
        </is>
      </c>
      <c r="D23" s="151" t="inlineStr">
        <is>
          <t>Move Workforce-ES Search to tCPA blocked on Mapal OS Tag fix</t>
        </is>
      </c>
      <c r="E23" s="151" t="inlineStr">
        <is>
          <t>Action-Ready tab marks BLOCKED, sequenced post-Andy fix</t>
        </is>
      </c>
    </row>
    <row r="24" ht="64.5" customHeight="1" s="134">
      <c r="A24" s="149" t="n">
        <v>20</v>
      </c>
      <c r="B24" s="255" t="inlineStr">
        <is>
          <t>BLOCKED</t>
        </is>
      </c>
      <c r="C24" s="151" t="inlineStr">
        <is>
          <t>Multiple</t>
        </is>
      </c>
      <c r="D24" s="151" t="inlineStr">
        <is>
          <t>FR Easilys top 10 Smart Bidding fix blocked on FR conversion goal cleanup</t>
        </is>
      </c>
      <c r="E24" s="151" t="inlineStr">
        <is>
          <t>Action-Ready tab marks BLOCKED, sequenced post-conversion cleanup</t>
        </is>
      </c>
    </row>
    <row r="25" ht="64.5" customHeight="1" s="134">
      <c r="A25" s="149" t="n">
        <v>21</v>
      </c>
      <c r="B25" s="255" t="inlineStr">
        <is>
          <t>BLOCKED</t>
        </is>
      </c>
      <c r="C25" s="151" t="inlineStr">
        <is>
          <t>Multiple</t>
        </is>
      </c>
      <c r="D25" s="151" t="inlineStr">
        <is>
          <t>UK Max Clicks campaigns switch blocked on UK tracking confirmed</t>
        </is>
      </c>
      <c r="E25" s="151" t="inlineStr">
        <is>
          <t>Action-Ready tab marks BLOCKED, sequenced post-tracking</t>
        </is>
      </c>
    </row>
    <row r="26" ht="15.75" customHeight="1" s="134"/>
    <row r="27" ht="15.75" customHeight="1" s="134"/>
    <row r="28" ht="15.75" customHeight="1" s="134"/>
    <row r="29" ht="15.75" customHeight="1" s="134"/>
    <row r="30" ht="15.75" customHeight="1" s="134"/>
    <row r="31" ht="15.75" customHeight="1" s="134"/>
    <row r="32" ht="15.75" customHeight="1" s="134"/>
    <row r="33" ht="15.75" customHeight="1" s="134"/>
    <row r="34" ht="15.75" customHeight="1" s="134"/>
    <row r="35" ht="15.75" customHeight="1" s="134"/>
    <row r="36" ht="15.75" customHeight="1" s="134"/>
    <row r="37" ht="15.75" customHeight="1" s="134"/>
    <row r="38" ht="15.75" customHeight="1" s="134"/>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mergeCells count="1">
    <mergeCell ref="A2:D2"/>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E6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2" customWidth="1" style="133" min="1" max="1"/>
    <col width="16" customWidth="1" style="133" min="2" max="2"/>
    <col width="18" customWidth="1" style="133" min="3" max="3"/>
    <col width="12" customWidth="1" style="133" min="4" max="5"/>
  </cols>
  <sheetData>
    <row r="1" ht="25.5" customHeight="1" s="134">
      <c r="A1" s="256" t="inlineStr">
        <is>
          <t>LOCKED NUMBERS: single source of truth (cite this tab; do not restate figures elsewhere)</t>
        </is>
      </c>
    </row>
    <row r="2" ht="27.75" customHeight="1" s="134">
      <c r="A2" s="257" t="inlineStr">
        <is>
          <t>Trailing 12 months, 875 marketing-sourced opportunities, 28 May 2025 to 28 May 2026, from Dynamics. The report, deck and The Plan reconcile to these figures rather than each restating them.</t>
        </is>
      </c>
    </row>
    <row r="3"/>
    <row r="4" ht="19.5" customHeight="1" s="134">
      <c r="A4" s="250" t="inlineStr">
        <is>
          <t>MARKETING-SOURCED OPPORTUNITIES BY SOURCE</t>
        </is>
      </c>
    </row>
    <row r="5" ht="28.35" customHeight="1" s="134">
      <c r="A5" s="258" t="inlineStr">
        <is>
          <t>Source</t>
        </is>
      </c>
      <c r="B5" s="258" t="inlineStr">
        <is>
          <t>Opportunities</t>
        </is>
      </c>
      <c r="C5" s="258" t="inlineStr">
        <is>
          <t>Pipeline value (EUR M)</t>
        </is>
      </c>
      <c r="D5" s="258" t="inlineStr">
        <is>
          <t>Won deals</t>
        </is>
      </c>
      <c r="E5" s="258" t="inlineStr">
        <is>
          <t>Win rate</t>
        </is>
      </c>
    </row>
    <row r="6" ht="15" customHeight="1" s="134">
      <c r="A6" s="259" t="inlineStr">
        <is>
          <t>Request a Demo (last-touch bucket)</t>
        </is>
      </c>
      <c r="B6" s="260" t="n">
        <v>394</v>
      </c>
      <c r="C6" s="261" t="n">
        <v>6.04</v>
      </c>
      <c r="D6" s="260" t="n">
        <v>62</v>
      </c>
      <c r="E6" s="262">
        <f>D6/B6</f>
        <v/>
      </c>
    </row>
    <row r="7" ht="15" customHeight="1" s="134">
      <c r="A7" s="259" t="inlineStr">
        <is>
          <t>Marketing Event</t>
        </is>
      </c>
      <c r="B7" s="260" t="n">
        <v>138</v>
      </c>
      <c r="C7" s="261" t="n">
        <v>1.73</v>
      </c>
      <c r="D7" s="260" t="n">
        <v>7</v>
      </c>
      <c r="E7" s="262">
        <f>D7/B7</f>
        <v/>
      </c>
    </row>
    <row r="8" ht="15" customHeight="1" s="134">
      <c r="A8" s="259" t="inlineStr">
        <is>
          <t>Marketing Email</t>
        </is>
      </c>
      <c r="B8" s="260" t="n">
        <v>120</v>
      </c>
      <c r="C8" s="261" t="n">
        <v>1.37</v>
      </c>
      <c r="D8" s="260" t="n">
        <v>2</v>
      </c>
      <c r="E8" s="262">
        <f>D8/B8</f>
        <v/>
      </c>
    </row>
    <row r="9" ht="15" customHeight="1" s="134">
      <c r="A9" s="259" t="inlineStr">
        <is>
          <t>Paid (search + social)</t>
        </is>
      </c>
      <c r="B9" s="260" t="n">
        <v>120</v>
      </c>
      <c r="C9" s="261" t="n">
        <v>1.05</v>
      </c>
      <c r="D9" s="260" t="n">
        <v>19</v>
      </c>
      <c r="E9" s="262">
        <f>D9/B9</f>
        <v/>
      </c>
    </row>
    <row r="10" ht="15" customHeight="1" s="134">
      <c r="A10" s="259" t="inlineStr">
        <is>
          <t>Website</t>
        </is>
      </c>
      <c r="B10" s="260" t="n">
        <v>81</v>
      </c>
      <c r="C10" s="261" t="n">
        <v>0.66</v>
      </c>
      <c r="D10" s="260" t="n">
        <v>13</v>
      </c>
      <c r="E10" s="262">
        <f>D10/B10</f>
        <v/>
      </c>
    </row>
    <row r="11" ht="15" customHeight="1" s="134">
      <c r="A11" s="257" t="inlineStr">
        <is>
          <t>Total marketing-sourced: 875 (top five sources shown; remainder in smaller buckets). Win rate = won deals / opportunities.</t>
        </is>
      </c>
    </row>
    <row r="12"/>
    <row r="13" ht="19.5" customHeight="1" s="134">
      <c r="A13" s="250" t="inlineStr">
        <is>
          <t>RANKINGS</t>
        </is>
      </c>
    </row>
    <row r="14" ht="23.85" customHeight="1" s="134">
      <c r="A14" s="257" t="inlineStr">
        <is>
          <t>By closed-won deals: 1) Request a Demo 62, 2) Paid 19, 3) Website 13, 4) Marketing Event 7, 5) Marketing Email 2. Paid is #2 by closed-won deals.</t>
        </is>
      </c>
    </row>
    <row r="15" ht="13.5" customHeight="1" s="134">
      <c r="A15" s="257" t="inlineStr">
        <is>
          <t>By pipeline value: 1) Request a Demo 6.04M, 2) Marketing Event 1.73M, 3) Marketing Email 1.37M, 4) Paid 1.05M, 5) Website 0.66M. Lead with won deals, not pipeline value (paid is #4 by pipeline value).</t>
        </is>
      </c>
    </row>
    <row r="16" ht="27.75" customHeight="1" s="134">
      <c r="A16" s="257" t="inlineStr">
        <is>
          <t>Request a Demo is a last-touch bucket, not an acquisition channel. Never claim paid is #1 or 'the top source' (singular); approved framing is '#2 by closed-won deals', 'top-three by opp count', 'top sources' (plural).</t>
        </is>
      </c>
    </row>
    <row r="17"/>
    <row r="18" ht="19.5" customHeight="1" s="134">
      <c r="A18" s="250" t="inlineStr">
        <is>
          <t>PAID DETAIL</t>
        </is>
      </c>
    </row>
    <row r="19" ht="15" customHeight="1" s="134">
      <c r="A19" s="259" t="inlineStr">
        <is>
          <t>Paid opportunities</t>
        </is>
      </c>
      <c r="B19" s="259" t="n">
        <v>120</v>
      </c>
      <c r="C19" s="263" t="n"/>
    </row>
    <row r="20" ht="15" customHeight="1" s="134">
      <c r="A20" s="259" t="inlineStr">
        <is>
          <t>Paid pipeline value (EUR M)</t>
        </is>
      </c>
      <c r="B20" s="264" t="n">
        <v>1.05</v>
      </c>
      <c r="C20" s="263" t="n"/>
    </row>
    <row r="21" ht="15" customHeight="1" s="134">
      <c r="A21" s="259" t="inlineStr">
        <is>
          <t>Paid won deals</t>
        </is>
      </c>
      <c r="B21" s="259" t="n">
        <v>19</v>
      </c>
      <c r="C21" s="263" t="n"/>
    </row>
    <row r="22" ht="15" customHeight="1" s="134">
      <c r="A22" s="259" t="inlineStr">
        <is>
          <t>Paid win rate</t>
        </is>
      </c>
      <c r="B22" s="265">
        <f>E9</f>
        <v/>
      </c>
      <c r="C22" s="263" t="n"/>
    </row>
    <row r="23" ht="15" customHeight="1" s="134">
      <c r="A23" s="259" t="inlineStr">
        <is>
          <t>Paid opps, UK</t>
        </is>
      </c>
      <c r="B23" s="259" t="n">
        <v>47</v>
      </c>
      <c r="C23" s="263" t="n"/>
    </row>
    <row r="24" ht="15" customHeight="1" s="134">
      <c r="A24" s="259" t="inlineStr">
        <is>
          <t>Paid opps, FR</t>
        </is>
      </c>
      <c r="B24" s="259" t="n">
        <v>46</v>
      </c>
      <c r="C24" s="263" t="n"/>
    </row>
    <row r="25" ht="15" customHeight="1" s="134">
      <c r="A25" s="259" t="inlineStr">
        <is>
          <t>Paid opps, ES</t>
        </is>
      </c>
      <c r="B25" s="259" t="n">
        <v>27</v>
      </c>
      <c r="C25" s="263" t="n"/>
    </row>
    <row r="26" ht="15" customHeight="1" s="134">
      <c r="A26" s="259" t="inlineStr">
        <is>
          <t>Paid opps, total (UK + FR + ES)</t>
        </is>
      </c>
      <c r="B26" s="266">
        <f>SUM(B23:B25)</f>
        <v/>
      </c>
      <c r="C26" s="263" t="n"/>
    </row>
    <row r="27" ht="15" customHeight="1" s="134">
      <c r="A27" s="259" t="inlineStr">
        <is>
          <t>Paid opps with a named campaign</t>
        </is>
      </c>
      <c r="B27" s="259" t="n">
        <v>101</v>
      </c>
      <c r="C27" s="263" t="n"/>
    </row>
    <row r="28" ht="15" customHeight="1" s="134">
      <c r="A28" s="259" t="inlineStr">
        <is>
          <t>Paid opps with no campaign (the UTM gap)</t>
        </is>
      </c>
      <c r="B28" s="259" t="n">
        <v>19</v>
      </c>
      <c r="C28" s="263" t="n"/>
    </row>
    <row r="29"/>
    <row r="30" ht="19.5" customHeight="1" s="134">
      <c r="A30" s="250" t="inlineStr">
        <is>
          <t>META (17-MONTH EXPORT)</t>
        </is>
      </c>
    </row>
    <row r="31" ht="15" customHeight="1" s="134">
      <c r="A31" s="259" t="inlineStr">
        <is>
          <t>Meta spend (EUR)</t>
        </is>
      </c>
      <c r="B31" s="267" t="n">
        <v>14958</v>
      </c>
      <c r="C31" s="263" t="n"/>
    </row>
    <row r="32" ht="15" customHeight="1" s="134">
      <c r="A32" s="259" t="inlineStr">
        <is>
          <t>Meta leads</t>
        </is>
      </c>
      <c r="B32" s="259" t="n">
        <v>108</v>
      </c>
      <c r="C32" s="263" t="n"/>
    </row>
    <row r="33" ht="15" customHeight="1" s="134">
      <c r="A33" s="259" t="inlineStr">
        <is>
          <t>Native form, cost per lead (EUR)</t>
        </is>
      </c>
      <c r="B33" s="267" t="n">
        <v>26</v>
      </c>
      <c r="C33" s="263" t="n"/>
    </row>
    <row r="34" ht="15" customHeight="1" s="134">
      <c r="A34" s="259" t="inlineStr">
        <is>
          <t>Landing page, cost per lead (EUR)</t>
        </is>
      </c>
      <c r="B34" s="267" t="n">
        <v>84</v>
      </c>
      <c r="C34" s="263" t="n"/>
    </row>
    <row r="35"/>
    <row r="36" ht="19.5" customHeight="1" s="134">
      <c r="A36" s="250" t="inlineStr">
        <is>
          <t>WASTE AND RECOVERY (no new budget; funded by reallocating waste)</t>
        </is>
      </c>
    </row>
    <row r="37" ht="15" customHeight="1" s="134">
      <c r="A37" s="259" t="inlineStr">
        <is>
          <t>Identified waste, 90 days (EUR)</t>
        </is>
      </c>
      <c r="B37" s="267" t="n">
        <v>26045</v>
      </c>
      <c r="C37" s="263" t="n"/>
    </row>
    <row r="38" ht="15" customHeight="1" s="134">
      <c r="A38" s="259" t="inlineStr">
        <is>
          <t>Annualised run-rate (EUR/yr)</t>
        </is>
      </c>
      <c r="B38" s="267" t="n">
        <v>105680</v>
      </c>
      <c r="C38" s="263" t="n"/>
    </row>
    <row r="39" ht="15" customHeight="1" s="134">
      <c r="A39" s="259" t="inlineStr">
        <is>
          <t>Realistic post-haircut recovery (EUR/yr)</t>
        </is>
      </c>
      <c r="B39" s="267" t="n">
        <v>67410</v>
      </c>
      <c r="C39" s="263" t="n"/>
    </row>
    <row r="40" ht="15" customHeight="1" s="134">
      <c r="A40" s="259" t="inlineStr">
        <is>
          <t>Committed recovery (EUR/yr)</t>
        </is>
      </c>
      <c r="B40" s="259" t="inlineStr">
        <is>
          <t>35,000 to 55,000</t>
        </is>
      </c>
      <c r="C40" s="263" t="n"/>
    </row>
    <row r="41" ht="15" customHeight="1" s="134">
      <c r="A41" s="259" t="inlineStr">
        <is>
          <t>Conservative floor (EUR/yr)</t>
        </is>
      </c>
      <c r="B41" s="259" t="inlineStr">
        <is>
          <t>22,000 to 30,000</t>
        </is>
      </c>
      <c r="C41" s="263" t="n"/>
    </row>
    <row r="42" ht="15" customHeight="1" s="134">
      <c r="A42" s="259" t="inlineStr">
        <is>
          <t>Stretch (EUR/yr)</t>
        </is>
      </c>
      <c r="B42" s="259" t="inlineStr">
        <is>
          <t>70,000 to 100,000</t>
        </is>
      </c>
      <c r="C42" s="263" t="n"/>
    </row>
    <row r="43" ht="15" customHeight="1" s="134">
      <c r="A43" s="259" t="inlineStr">
        <is>
          <t>Already banked (killed failed LinkedIn ABM)</t>
        </is>
      </c>
      <c r="B43" s="259" t="inlineStr">
        <is>
          <t>approx 9,000 / yr</t>
        </is>
      </c>
      <c r="C43" s="263" t="n"/>
    </row>
    <row r="44" ht="27.75" customHeight="1" s="134">
      <c r="A44" s="259" t="inlineStr">
        <is>
          <t>Money headline rule</t>
        </is>
      </c>
      <c r="B44" s="259" t="inlineStr">
        <is>
          <t>Lead with the committed 35-55K/yr. 105K is run-rate, 67K realistic post-haircut. No new budget.</t>
        </is>
      </c>
      <c r="C44" s="263" t="n"/>
    </row>
    <row r="45"/>
    <row r="46" ht="19.5" customHeight="1" s="134">
      <c r="A46" s="250" t="inlineStr">
        <is>
          <t>ATTRIBUTION AND LEGACY</t>
        </is>
      </c>
    </row>
    <row r="47" ht="23.85" customHeight="1" s="134">
      <c r="A47" s="259" t="inlineStr">
        <is>
          <t>Legacy source re-map, main pipeline</t>
        </is>
      </c>
      <c r="B47" s="259" t="inlineStr">
        <is>
          <t>approx 10,900 deals read blank (old option IDs)</t>
        </is>
      </c>
      <c r="C47" s="263" t="n"/>
    </row>
    <row r="48" ht="15" customHeight="1" s="134">
      <c r="A48" s="259" t="inlineStr">
        <is>
          <t>Legacy source re-map, all pipelines</t>
        </is>
      </c>
      <c r="B48" s="259" t="inlineStr">
        <is>
          <t>approx 25,000 deals read blank</t>
        </is>
      </c>
      <c r="C48" s="263" t="n"/>
    </row>
    <row r="49" ht="39.75" customHeight="1" s="134">
      <c r="A49" s="259" t="inlineStr">
        <is>
          <t>Attribution design</t>
        </is>
      </c>
      <c r="B49" s="259" t="inlineStr">
        <is>
          <t>HubSpot attribution design is sound; the breaks are upstream (ad-platform tagging and the D365 sync). Paid is undercounted, not broken.</t>
        </is>
      </c>
      <c r="C49" s="263" t="n"/>
    </row>
    <row r="50"/>
    <row r="51" ht="19.5" customHeight="1" s="134">
      <c r="A51" s="250" t="inlineStr">
        <is>
          <t>FUNNEL TARGETS</t>
        </is>
      </c>
    </row>
    <row r="52" ht="15" customHeight="1" s="134">
      <c r="A52" s="259" t="inlineStr">
        <is>
          <t>SDR outbound vs target</t>
        </is>
      </c>
      <c r="B52" s="259" t="inlineStr">
        <is>
          <t>63% (87K of 138K)</t>
        </is>
      </c>
      <c r="C52" s="263" t="n"/>
    </row>
    <row r="53" ht="15" customHeight="1" s="134">
      <c r="A53" s="259" t="inlineStr">
        <is>
          <t>SAL-to-booking</t>
        </is>
      </c>
      <c r="B53" s="259" t="inlineStr">
        <is>
          <t>15% now, target 20% by end 2026</t>
        </is>
      </c>
      <c r="C53" s="263" t="n"/>
    </row>
    <row r="54"/>
    <row r="55" ht="19.5" customHeight="1" s="134">
      <c r="A55" s="250" t="inlineStr">
        <is>
          <t>FRAMING RULES (apply whenever citing these numbers)</t>
        </is>
      </c>
    </row>
    <row r="56" ht="15" customHeight="1" s="134">
      <c r="A56" s="268" t="inlineStr">
        <is>
          <t>- Lead with closed-won deals, not pipeline value.</t>
        </is>
      </c>
    </row>
    <row r="57" ht="15" customHeight="1" s="134">
      <c r="A57" s="268" t="inlineStr">
        <is>
          <t>- Money headline leads with the committed 35-55K/yr (105K run-rate, 67K realistic post-haircut).</t>
        </is>
      </c>
    </row>
    <row r="58" ht="15" customHeight="1" s="134">
      <c r="A58" s="268" t="inlineStr">
        <is>
          <t>- Never claim paid is #1 or 'the top source' (singular). Use '#2 by closed-won deals', 'top-three by opp count', 'top sources' (plural).</t>
        </is>
      </c>
    </row>
    <row r="59" ht="15" customHeight="1" s="134">
      <c r="A59" s="268" t="inlineStr">
        <is>
          <t>- Protect the HubSpot attribution design: it is sound; the breaks are upstream. Never tell stakeholders everything is wrong.</t>
        </is>
      </c>
    </row>
    <row r="60" ht="15" customHeight="1" s="134">
      <c r="A60" s="268" t="inlineStr">
        <is>
          <t>- Narrative docs (report, deck, The Plan) use roles, not people's names. This internal sheet uses names/teams as owners.</t>
        </is>
      </c>
    </row>
  </sheetData>
  <mergeCells count="46">
    <mergeCell ref="A30:E30"/>
    <mergeCell ref="B47:C47"/>
    <mergeCell ref="A59:E59"/>
    <mergeCell ref="B25:C25"/>
    <mergeCell ref="A15:E15"/>
    <mergeCell ref="A60:E60"/>
    <mergeCell ref="A11:E11"/>
    <mergeCell ref="A51:E51"/>
    <mergeCell ref="B22:C22"/>
    <mergeCell ref="A1:E1"/>
    <mergeCell ref="B31:C31"/>
    <mergeCell ref="A36:E36"/>
    <mergeCell ref="B27:C27"/>
    <mergeCell ref="B43:C43"/>
    <mergeCell ref="B39:C39"/>
    <mergeCell ref="B52:C52"/>
    <mergeCell ref="B21:C21"/>
    <mergeCell ref="B48:C48"/>
    <mergeCell ref="A16:E16"/>
    <mergeCell ref="B42:C42"/>
    <mergeCell ref="B23:C23"/>
    <mergeCell ref="A46:E46"/>
    <mergeCell ref="A18:E18"/>
    <mergeCell ref="B53:C53"/>
    <mergeCell ref="A56:E56"/>
    <mergeCell ref="A55:E55"/>
    <mergeCell ref="B38:C38"/>
    <mergeCell ref="B44:C44"/>
    <mergeCell ref="A57:E57"/>
    <mergeCell ref="A2:E2"/>
    <mergeCell ref="B19:C19"/>
    <mergeCell ref="B34:C34"/>
    <mergeCell ref="B37:C37"/>
    <mergeCell ref="B28:C28"/>
    <mergeCell ref="A14:E14"/>
    <mergeCell ref="B40:C40"/>
    <mergeCell ref="B49:C49"/>
    <mergeCell ref="B24:C24"/>
    <mergeCell ref="A4:E4"/>
    <mergeCell ref="B33:C33"/>
    <mergeCell ref="B20:C20"/>
    <mergeCell ref="B32:C32"/>
    <mergeCell ref="A13:E13"/>
    <mergeCell ref="B26:C26"/>
    <mergeCell ref="B41:C41"/>
    <mergeCell ref="A58:E5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2026-05-30T09:57:14Z</dcterms:created>
  <dcterms:modified xmlns:dcterms="http://purl.org/dc/terms/" xmlns:xsi="http://www.w3.org/2001/XMLSchema-instance" xsi:type="dcterms:W3CDTF">2026-06-02T14:09:21Z</dcterms:modified>
  <cp:revision>0</cp:revision>
</cp:coreProperties>
</file>